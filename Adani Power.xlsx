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IT0001\Downloads\"/>
    </mc:Choice>
  </mc:AlternateContent>
  <xr:revisionPtr revIDLastSave="0" documentId="13_ncr:1_{E74F2DDF-226E-438E-81C3-D367DD07BC1D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  <sheet name="P&amp;L" sheetId="7" r:id="rId7"/>
    <sheet name="-quat" sheetId="8" r:id="rId8"/>
    <sheet name="bs" sheetId="9" r:id="rId9"/>
    <sheet name="cf" sheetId="10" r:id="rId10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5" i="10" l="1"/>
  <c r="J5" i="10"/>
  <c r="I5" i="10"/>
  <c r="H5" i="10"/>
  <c r="G5" i="10"/>
  <c r="F5" i="10"/>
  <c r="E5" i="10"/>
  <c r="D5" i="10"/>
  <c r="C5" i="10"/>
  <c r="B5" i="10"/>
  <c r="K4" i="10"/>
  <c r="J4" i="10"/>
  <c r="I4" i="10"/>
  <c r="H4" i="10"/>
  <c r="G4" i="10"/>
  <c r="F4" i="10"/>
  <c r="E4" i="10"/>
  <c r="D4" i="10"/>
  <c r="C4" i="10"/>
  <c r="B4" i="10"/>
  <c r="K3" i="10"/>
  <c r="J3" i="10"/>
  <c r="I3" i="10"/>
  <c r="H3" i="10"/>
  <c r="G3" i="10"/>
  <c r="F3" i="10"/>
  <c r="E3" i="10"/>
  <c r="D3" i="10"/>
  <c r="C3" i="10"/>
  <c r="B3" i="10"/>
  <c r="K21" i="9"/>
  <c r="J21" i="9"/>
  <c r="I21" i="9"/>
  <c r="H21" i="9"/>
  <c r="G21" i="9"/>
  <c r="F21" i="9"/>
  <c r="E21" i="9"/>
  <c r="D21" i="9"/>
  <c r="C21" i="9"/>
  <c r="B21" i="9"/>
  <c r="K16" i="9"/>
  <c r="J16" i="9"/>
  <c r="I16" i="9"/>
  <c r="H16" i="9"/>
  <c r="G16" i="9"/>
  <c r="F16" i="9"/>
  <c r="E16" i="9"/>
  <c r="D16" i="9"/>
  <c r="C16" i="9"/>
  <c r="B16" i="9"/>
  <c r="K15" i="9"/>
  <c r="J15" i="9"/>
  <c r="I15" i="9"/>
  <c r="H15" i="9"/>
  <c r="G15" i="9"/>
  <c r="F15" i="9"/>
  <c r="E15" i="9"/>
  <c r="D15" i="9"/>
  <c r="C15" i="9"/>
  <c r="B15" i="9"/>
  <c r="K14" i="9"/>
  <c r="J14" i="9"/>
  <c r="E14" i="9"/>
  <c r="D14" i="9"/>
  <c r="C14" i="9"/>
  <c r="K12" i="9"/>
  <c r="J12" i="9"/>
  <c r="I12" i="9"/>
  <c r="H12" i="9"/>
  <c r="G12" i="9"/>
  <c r="F12" i="9"/>
  <c r="E12" i="9"/>
  <c r="D12" i="9"/>
  <c r="C12" i="9"/>
  <c r="B12" i="9"/>
  <c r="K11" i="9"/>
  <c r="J11" i="9"/>
  <c r="I11" i="9"/>
  <c r="I14" i="9" s="1"/>
  <c r="H11" i="9"/>
  <c r="H14" i="9" s="1"/>
  <c r="G11" i="9"/>
  <c r="G14" i="9" s="1"/>
  <c r="F11" i="9"/>
  <c r="F14" i="9" s="1"/>
  <c r="E11" i="9"/>
  <c r="D11" i="9"/>
  <c r="C11" i="9"/>
  <c r="B11" i="9"/>
  <c r="B14" i="9" s="1"/>
  <c r="K10" i="9"/>
  <c r="J10" i="9"/>
  <c r="I10" i="9"/>
  <c r="H10" i="9"/>
  <c r="G10" i="9"/>
  <c r="F10" i="9"/>
  <c r="E10" i="9"/>
  <c r="D10" i="9"/>
  <c r="C10" i="9"/>
  <c r="B10" i="9"/>
  <c r="K9" i="9"/>
  <c r="J9" i="9"/>
  <c r="I9" i="9"/>
  <c r="H9" i="9"/>
  <c r="G9" i="9"/>
  <c r="F9" i="9"/>
  <c r="E9" i="9"/>
  <c r="D9" i="9"/>
  <c r="C9" i="9"/>
  <c r="B9" i="9"/>
  <c r="K8" i="9"/>
  <c r="J8" i="9"/>
  <c r="I8" i="9"/>
  <c r="H8" i="9"/>
  <c r="G8" i="9"/>
  <c r="F8" i="9"/>
  <c r="E8" i="9"/>
  <c r="D8" i="9"/>
  <c r="C8" i="9"/>
  <c r="B8" i="9"/>
  <c r="K6" i="9"/>
  <c r="J6" i="9"/>
  <c r="I6" i="9"/>
  <c r="H6" i="9"/>
  <c r="G6" i="9"/>
  <c r="F6" i="9"/>
  <c r="E6" i="9"/>
  <c r="D6" i="9"/>
  <c r="C6" i="9"/>
  <c r="B6" i="9"/>
  <c r="K5" i="9"/>
  <c r="J5" i="9"/>
  <c r="I5" i="9"/>
  <c r="H5" i="9"/>
  <c r="G5" i="9"/>
  <c r="F5" i="9"/>
  <c r="E5" i="9"/>
  <c r="D5" i="9"/>
  <c r="C5" i="9"/>
  <c r="B5" i="9"/>
  <c r="K4" i="9"/>
  <c r="J4" i="9"/>
  <c r="I4" i="9"/>
  <c r="H4" i="9"/>
  <c r="G4" i="9"/>
  <c r="F4" i="9"/>
  <c r="E4" i="9"/>
  <c r="D4" i="9"/>
  <c r="C4" i="9"/>
  <c r="B4" i="9"/>
  <c r="K3" i="9"/>
  <c r="J3" i="9"/>
  <c r="I3" i="9"/>
  <c r="H3" i="9"/>
  <c r="G3" i="9"/>
  <c r="F3" i="9"/>
  <c r="G22" i="9" s="1"/>
  <c r="E3" i="9"/>
  <c r="D3" i="9"/>
  <c r="C3" i="9"/>
  <c r="B3" i="9"/>
  <c r="K2" i="9"/>
  <c r="J2" i="9"/>
  <c r="K22" i="9" s="1"/>
  <c r="I2" i="9"/>
  <c r="J22" i="9" s="1"/>
  <c r="H2" i="9"/>
  <c r="I22" i="9" s="1"/>
  <c r="G2" i="9"/>
  <c r="H22" i="9" s="1"/>
  <c r="F2" i="9"/>
  <c r="E2" i="9"/>
  <c r="F22" i="9" s="1"/>
  <c r="D2" i="9"/>
  <c r="E22" i="9" s="1"/>
  <c r="C2" i="9"/>
  <c r="D22" i="9" s="1"/>
  <c r="B2" i="9"/>
  <c r="C22" i="9" s="1"/>
  <c r="J12" i="8"/>
  <c r="E12" i="8"/>
  <c r="B12" i="8"/>
  <c r="K10" i="8"/>
  <c r="J10" i="8"/>
  <c r="I10" i="8"/>
  <c r="H10" i="8"/>
  <c r="G10" i="8"/>
  <c r="F10" i="8"/>
  <c r="E10" i="8"/>
  <c r="D10" i="8"/>
  <c r="C10" i="8"/>
  <c r="B10" i="8"/>
  <c r="K9" i="8"/>
  <c r="J9" i="8"/>
  <c r="I9" i="8"/>
  <c r="H9" i="8"/>
  <c r="G9" i="8"/>
  <c r="F9" i="8"/>
  <c r="E9" i="8"/>
  <c r="D9" i="8"/>
  <c r="C9" i="8"/>
  <c r="B9" i="8"/>
  <c r="K8" i="8"/>
  <c r="J8" i="8"/>
  <c r="I8" i="8"/>
  <c r="H8" i="8"/>
  <c r="G8" i="8"/>
  <c r="F8" i="8"/>
  <c r="E8" i="8"/>
  <c r="D8" i="8"/>
  <c r="C8" i="8"/>
  <c r="B8" i="8"/>
  <c r="K7" i="8"/>
  <c r="J7" i="8"/>
  <c r="I7" i="8"/>
  <c r="H7" i="8"/>
  <c r="G7" i="8"/>
  <c r="F7" i="8"/>
  <c r="E7" i="8"/>
  <c r="D7" i="8"/>
  <c r="C7" i="8"/>
  <c r="B7" i="8"/>
  <c r="K6" i="8"/>
  <c r="J6" i="8"/>
  <c r="I6" i="8"/>
  <c r="H6" i="8"/>
  <c r="G6" i="8"/>
  <c r="F6" i="8"/>
  <c r="E6" i="8"/>
  <c r="D6" i="8"/>
  <c r="C6" i="8"/>
  <c r="B6" i="8"/>
  <c r="K5" i="8"/>
  <c r="J5" i="8"/>
  <c r="I5" i="8"/>
  <c r="H5" i="8"/>
  <c r="G5" i="8"/>
  <c r="F5" i="8"/>
  <c r="E5" i="8"/>
  <c r="D5" i="8"/>
  <c r="C5" i="8"/>
  <c r="B5" i="8"/>
  <c r="K4" i="8"/>
  <c r="J4" i="8"/>
  <c r="I4" i="8"/>
  <c r="H4" i="8"/>
  <c r="G4" i="8"/>
  <c r="F4" i="8"/>
  <c r="E4" i="8"/>
  <c r="D4" i="8"/>
  <c r="C4" i="8"/>
  <c r="B4" i="8"/>
  <c r="K3" i="8"/>
  <c r="J3" i="8"/>
  <c r="I3" i="8"/>
  <c r="H3" i="8"/>
  <c r="G3" i="8"/>
  <c r="F3" i="8"/>
  <c r="E3" i="8"/>
  <c r="D3" i="8"/>
  <c r="C3" i="8"/>
  <c r="B3" i="8"/>
  <c r="K12" i="8"/>
  <c r="I12" i="8"/>
  <c r="H12" i="8"/>
  <c r="G12" i="8"/>
  <c r="F12" i="8"/>
  <c r="D12" i="8"/>
  <c r="C12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E23" i="2"/>
  <c r="F4" i="2"/>
  <c r="G4" i="2"/>
  <c r="H4" i="2"/>
  <c r="I4" i="2"/>
  <c r="I5" i="2"/>
  <c r="J4" i="2"/>
  <c r="J5" i="2"/>
  <c r="J23" i="2" s="1"/>
  <c r="K4" i="2"/>
  <c r="C5" i="2"/>
  <c r="D5" i="2"/>
  <c r="F5" i="2"/>
  <c r="F23" i="2" s="1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H14" i="3" s="1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13" i="1" s="1"/>
  <c r="G14" i="1" s="1"/>
  <c r="H12" i="1"/>
  <c r="I12" i="1"/>
  <c r="I13" i="1" s="1"/>
  <c r="J12" i="1"/>
  <c r="J13" i="1" s="1"/>
  <c r="J14" i="1" s="1"/>
  <c r="K12" i="1"/>
  <c r="K23" i="2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B20" i="2" s="1"/>
  <c r="A1" i="1"/>
  <c r="E1" i="6"/>
  <c r="H1" i="1" s="1"/>
  <c r="E1" i="2"/>
  <c r="E1" i="3"/>
  <c r="H16" i="2"/>
  <c r="C23" i="2"/>
  <c r="C16" i="2"/>
  <c r="G23" i="2"/>
  <c r="F16" i="2"/>
  <c r="H23" i="2"/>
  <c r="D23" i="2"/>
  <c r="J6" i="1"/>
  <c r="J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L12" i="1"/>
  <c r="L13" i="1" s="1"/>
  <c r="L14" i="1" s="1"/>
  <c r="L25" i="1" s="1"/>
  <c r="L10" i="1"/>
  <c r="L6" i="1"/>
  <c r="A1" i="3"/>
  <c r="A1" i="2"/>
  <c r="A1" i="4" s="1"/>
  <c r="H23" i="1"/>
  <c r="I23" i="1"/>
  <c r="J23" i="1"/>
  <c r="L5" i="1"/>
  <c r="B14" i="1" l="1"/>
  <c r="E24" i="2"/>
  <c r="D24" i="2"/>
  <c r="I16" i="2"/>
  <c r="K24" i="2"/>
  <c r="I14" i="1"/>
  <c r="K25" i="1" s="1"/>
  <c r="M25" i="1" s="1"/>
  <c r="M14" i="1" s="1"/>
  <c r="C24" i="2"/>
  <c r="I23" i="2"/>
  <c r="K13" i="1"/>
  <c r="K14" i="1" s="1"/>
  <c r="H14" i="1"/>
  <c r="J16" i="2"/>
  <c r="G16" i="2"/>
  <c r="D13" i="1"/>
  <c r="E13" i="1" s="1"/>
  <c r="E6" i="1"/>
  <c r="E19" i="1" s="1"/>
  <c r="H24" i="1" s="1"/>
  <c r="E20" i="2"/>
  <c r="B23" i="2"/>
  <c r="J24" i="2"/>
  <c r="I24" i="2"/>
  <c r="I21" i="2"/>
  <c r="H24" i="2"/>
  <c r="B16" i="2"/>
  <c r="G24" i="2"/>
  <c r="N11" i="1"/>
  <c r="M11" i="1"/>
  <c r="E14" i="1"/>
  <c r="L4" i="1"/>
  <c r="L23" i="1" s="1"/>
  <c r="I6" i="1"/>
  <c r="I19" i="1" s="1"/>
  <c r="K24" i="1" s="1"/>
  <c r="F24" i="2"/>
  <c r="J25" i="1"/>
  <c r="M9" i="1"/>
  <c r="N9" i="1"/>
  <c r="N8" i="1"/>
  <c r="M8" i="1"/>
  <c r="I25" i="1"/>
  <c r="I20" i="2"/>
  <c r="H20" i="2"/>
  <c r="K23" i="1"/>
  <c r="M23" i="1" s="1"/>
  <c r="M4" i="1" s="1"/>
  <c r="H6" i="1"/>
  <c r="H19" i="1" s="1"/>
  <c r="J24" i="1" s="1"/>
  <c r="F6" i="1"/>
  <c r="F19" i="1" s="1"/>
  <c r="E1" i="4"/>
  <c r="I24" i="1" l="1"/>
  <c r="N24" i="1" s="1"/>
  <c r="L19" i="1"/>
  <c r="L24" i="1" s="1"/>
  <c r="M24" i="1" s="1"/>
  <c r="M6" i="1" s="1"/>
  <c r="M10" i="1" s="1"/>
  <c r="M12" i="1" s="1"/>
  <c r="M13" i="1" s="1"/>
  <c r="M15" i="1" s="1"/>
  <c r="N23" i="1"/>
  <c r="N4" i="1" s="1"/>
  <c r="N6" i="1" s="1"/>
  <c r="N10" i="1" s="1"/>
  <c r="N12" i="1" s="1"/>
  <c r="N13" i="1" s="1"/>
  <c r="D14" i="1"/>
  <c r="H25" i="1" s="1"/>
  <c r="N25" i="1" s="1"/>
  <c r="N14" i="1" s="1"/>
  <c r="N5" i="1" l="1"/>
  <c r="N15" i="1"/>
  <c r="M5" i="1"/>
</calcChain>
</file>

<file path=xl/sharedStrings.xml><?xml version="1.0" encoding="utf-8"?>
<sst xmlns="http://schemas.openxmlformats.org/spreadsheetml/2006/main" count="194" uniqueCount="93">
  <si>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</si>
  <si>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</si>
  <si>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</si>
  <si>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</si>
  <si>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</si>
  <si>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</si>
  <si>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</si>
  <si>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</si>
  <si>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</si>
  <si>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</si>
  <si>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</si>
  <si>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</si>
  <si>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</si>
  <si>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</si>
  <si>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</si>
  <si>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</si>
  <si>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</si>
  <si>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</si>
  <si>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</si>
  <si>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</si>
  <si>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</si>
  <si>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</si>
  <si>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</si>
  <si>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</si>
  <si>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</si>
  <si>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</si>
  <si>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</si>
  <si>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</si>
  <si>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</si>
  <si>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</si>
  <si>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</si>
  <si>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</si>
  <si>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</si>
  <si>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</si>
  <si>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</si>
  <si>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</si>
  <si>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</si>
  <si>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</si>
  <si>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</si>
  <si>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</si>
  <si>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</si>
  <si>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</si>
  <si>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</si>
  <si>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</si>
  <si>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</si>
  <si>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</si>
  <si>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</si>
  <si>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</si>
  <si>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</si>
  <si>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</si>
  <si>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</si>
  <si>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</si>
  <si>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</si>
  <si>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</si>
  <si>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</si>
  <si>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</si>
  <si>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</si>
  <si>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</si>
  <si>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</si>
  <si>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</si>
  <si>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</si>
  <si>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</si>
  <si>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</si>
  <si>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POWER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</si>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</sst>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42">
  <tableColumns count="14">
    <tableColumn id="1" xr3:uid="{00000000-0010-0000-0000-000001000000}" name="Column1" headerRowDxfId="41" dataDxfId="40"/>
    <tableColumn id="2" xr3:uid="{00000000-0010-0000-0000-000002000000}" name="Column2" headerRowDxfId="39"/>
    <tableColumn id="3" xr3:uid="{00000000-0010-0000-0000-000003000000}" name="Column3" headerRowDxfId="38"/>
    <tableColumn id="4" xr3:uid="{00000000-0010-0000-0000-000004000000}" name="Column4" headerRowDxfId="37"/>
    <tableColumn id="5" xr3:uid="{00000000-0010-0000-0000-000005000000}" name="Column5" headerRowDxfId="36"/>
    <tableColumn id="6" xr3:uid="{00000000-0010-0000-0000-000006000000}" name="Column6" headerRowDxfId="35"/>
    <tableColumn id="7" xr3:uid="{00000000-0010-0000-0000-000007000000}" name="Column7" headerRowDxfId="34"/>
    <tableColumn id="8" xr3:uid="{00000000-0010-0000-0000-000008000000}" name="Column8" headerRowDxfId="33"/>
    <tableColumn id="9" xr3:uid="{00000000-0010-0000-0000-000009000000}" name="Column9" headerRowDxfId="32"/>
    <tableColumn id="10" xr3:uid="{00000000-0010-0000-0000-00000A000000}" name="Column10" headerRowDxfId="31"/>
    <tableColumn id="11" xr3:uid="{00000000-0010-0000-0000-00000B000000}" name="Column11" headerRowDxfId="30"/>
    <tableColumn id="12" xr3:uid="{00000000-0010-0000-0000-00000C000000}" name="Column12" headerRowDxfId="29"/>
    <tableColumn id="13" xr3:uid="{00000000-0010-0000-0000-00000D000000}" name="Column13" headerRowDxfId="28" dataDxfId="27"/>
    <tableColumn id="14" xr3:uid="{00000000-0010-0000-0000-00000E000000}" name="Column14" headerRowDxfId="26" dataDxfId="25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24">
  <tableColumns count="11">
    <tableColumn id="1" xr3:uid="{00000000-0010-0000-0100-000001000000}" name="Column1" headerRowDxfId="23"/>
    <tableColumn id="2" xr3:uid="{00000000-0010-0000-0100-000002000000}" name="Column2" headerRowDxfId="22"/>
    <tableColumn id="3" xr3:uid="{00000000-0010-0000-0100-000003000000}" name="Column3" headerRowDxfId="21"/>
    <tableColumn id="4" xr3:uid="{00000000-0010-0000-0100-000004000000}" name="Column4" headerRowDxfId="20"/>
    <tableColumn id="5" xr3:uid="{00000000-0010-0000-0100-000005000000}" name="Column5" headerRowDxfId="19"/>
    <tableColumn id="6" xr3:uid="{00000000-0010-0000-0100-000006000000}" name="Column6" headerRowDxfId="18"/>
    <tableColumn id="7" xr3:uid="{00000000-0010-0000-0100-000007000000}" name="Column7" headerRowDxfId="17"/>
    <tableColumn id="8" xr3:uid="{00000000-0010-0000-0100-000008000000}" name="Column8" headerRowDxfId="16"/>
    <tableColumn id="9" xr3:uid="{00000000-0010-0000-0100-000009000000}" name="Column9" headerRowDxfId="15"/>
    <tableColumn id="10" xr3:uid="{00000000-0010-0000-0100-00000A000000}" name="Column10" headerRowDxfId="14"/>
    <tableColumn id="11" xr3:uid="{00000000-0010-0000-0100-00000B000000}" name="Column11" headerRowDxfId="13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761375-E788-454A-8039-3FDAD66C26DC}" name="Quarters4" displayName="Quarters4" ref="A1:K12" headerRowCount="0" totalsRowShown="0" headerRowDxfId="11">
  <tableColumns count="11">
    <tableColumn id="1" xr3:uid="{B3BB1D3D-3E80-4EB5-B2A9-A4541D31A9CA}" name="Column1" headerRowDxfId="10"/>
    <tableColumn id="2" xr3:uid="{393D308A-588D-42D7-A34B-5F5A40C5D601}" name="Column2" headerRowDxfId="9"/>
    <tableColumn id="3" xr3:uid="{BBD9937F-1C52-4715-94BF-9843899D95D9}" name="Column3" headerRowDxfId="8"/>
    <tableColumn id="4" xr3:uid="{23044868-6B4B-426C-920A-BF45C804E0C1}" name="Column4" headerRowDxfId="7"/>
    <tableColumn id="5" xr3:uid="{C2DF8427-9BCB-4684-AF5E-AD5014575A00}" name="Column5" headerRowDxfId="6"/>
    <tableColumn id="6" xr3:uid="{BD81C6A1-9A3F-49CD-9780-C05C8FD0913D}" name="Column6" headerRowDxfId="5"/>
    <tableColumn id="7" xr3:uid="{36EADBB5-C6D5-4483-9872-1E1305A1953D}" name="Column7" headerRowDxfId="4"/>
    <tableColumn id="8" xr3:uid="{B8C74DCB-871E-4B25-B719-F35CC184BA1A}" name="Column8" headerRowDxfId="3"/>
    <tableColumn id="9" xr3:uid="{7E73440B-4AC4-43A5-8E5A-DB848E1CEDBE}" name="Column9" headerRowDxfId="2"/>
    <tableColumn id="10" xr3:uid="{E412AEDA-4AAF-427E-98E9-7A31B1266566}" name="Column10" headerRowDxfId="1"/>
    <tableColumn id="11" xr3:uid="{F2CF849B-E9B8-47F9-9BCD-FE9B53BA7BA1}" name="Column11" headerRowDxfId="0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ADANI POWER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25377.33</v>
      </c>
      <c r="C4" s="1">
        <f>'Data Sheet'!C17</f>
        <v>22615.51</v>
      </c>
      <c r="D4" s="1">
        <f>'Data Sheet'!D17</f>
        <v>20304.28</v>
      </c>
      <c r="E4" s="1">
        <f>'Data Sheet'!E17</f>
        <v>23884.18</v>
      </c>
      <c r="F4" s="1">
        <f>'Data Sheet'!F17</f>
        <v>26467.72</v>
      </c>
      <c r="G4" s="1">
        <f>'Data Sheet'!G17</f>
        <v>26221.48</v>
      </c>
      <c r="H4" s="1">
        <f>'Data Sheet'!H17</f>
        <v>27711.18</v>
      </c>
      <c r="I4" s="1">
        <f>'Data Sheet'!I17</f>
        <v>38773.300000000003</v>
      </c>
      <c r="J4" s="1">
        <f>'Data Sheet'!J17</f>
        <v>50351.25</v>
      </c>
      <c r="K4" s="1">
        <f>'Data Sheet'!K17</f>
        <v>56203.09</v>
      </c>
      <c r="L4" s="1">
        <f>SUM(Quarters!H4:K4)</f>
        <v>54254.83</v>
      </c>
      <c r="M4" s="1">
        <f>$K4+M23*K4</f>
        <v>71142.411898988168</v>
      </c>
      <c r="N4" s="1">
        <f>$K4+N23*L4</f>
        <v>61214.402215107395</v>
      </c>
    </row>
    <row r="5" spans="1:14" x14ac:dyDescent="0.3">
      <c r="A5" t="s">
        <v>7</v>
      </c>
      <c r="B5" s="6">
        <f>SUM('Data Sheet'!B18,'Data Sheet'!B20:B24, -1*'Data Sheet'!B19)</f>
        <v>16575.2</v>
      </c>
      <c r="C5" s="6">
        <f>SUM('Data Sheet'!C18,'Data Sheet'!C20:C24, -1*'Data Sheet'!C19)</f>
        <v>16635.47</v>
      </c>
      <c r="D5" s="6">
        <f>SUM('Data Sheet'!D18,'Data Sheet'!D20:D24, -1*'Data Sheet'!D19)</f>
        <v>14868.35</v>
      </c>
      <c r="E5" s="6">
        <f>SUM('Data Sheet'!E18,'Data Sheet'!E20:E24, -1*'Data Sheet'!E19)</f>
        <v>18900.77</v>
      </c>
      <c r="F5" s="6">
        <f>SUM('Data Sheet'!F18,'Data Sheet'!F20:F24, -1*'Data Sheet'!F19)</f>
        <v>20734.080000000002</v>
      </c>
      <c r="G5" s="6">
        <f>SUM('Data Sheet'!G18,'Data Sheet'!G20:G24, -1*'Data Sheet'!G19)</f>
        <v>17533.319999999996</v>
      </c>
      <c r="H5" s="6">
        <f>SUM('Data Sheet'!H18,'Data Sheet'!H20:H24, -1*'Data Sheet'!H19)</f>
        <v>17829.77</v>
      </c>
      <c r="I5" s="6">
        <f>SUM('Data Sheet'!I18,'Data Sheet'!I20:I24, -1*'Data Sheet'!I19)</f>
        <v>28676.959999999999</v>
      </c>
      <c r="J5" s="6">
        <f>SUM('Data Sheet'!J18,'Data Sheet'!J20:J24, -1*'Data Sheet'!J19)</f>
        <v>32123.629999999997</v>
      </c>
      <c r="K5" s="6">
        <f>SUM('Data Sheet'!K18,'Data Sheet'!K20:K24, -1*'Data Sheet'!K19)</f>
        <v>34784.76</v>
      </c>
      <c r="L5" s="6">
        <f>SUM(Quarters!H5:K5)</f>
        <v>34368.559999999998</v>
      </c>
      <c r="M5" s="6">
        <f t="shared" ref="M5:N5" si="0">M4-M6</f>
        <v>45066.259573481089</v>
      </c>
      <c r="N5" s="6">
        <f t="shared" si="0"/>
        <v>42104.089913515272</v>
      </c>
    </row>
    <row r="6" spans="1:14" s="2" customFormat="1" x14ac:dyDescent="0.3">
      <c r="A6" s="2" t="s">
        <v>8</v>
      </c>
      <c r="B6" s="1">
        <f>B4-B5</f>
        <v>8802.130000000001</v>
      </c>
      <c r="C6" s="1">
        <f t="shared" ref="C6:K6" si="1">C4-C5</f>
        <v>5980.0399999999972</v>
      </c>
      <c r="D6" s="1">
        <f t="shared" si="1"/>
        <v>5435.9299999999985</v>
      </c>
      <c r="E6" s="1">
        <f t="shared" si="1"/>
        <v>4983.41</v>
      </c>
      <c r="F6" s="1">
        <f t="shared" si="1"/>
        <v>5733.6399999999994</v>
      </c>
      <c r="G6" s="1">
        <f t="shared" si="1"/>
        <v>8688.1600000000035</v>
      </c>
      <c r="H6" s="1">
        <f t="shared" si="1"/>
        <v>9881.41</v>
      </c>
      <c r="I6" s="1">
        <f t="shared" si="1"/>
        <v>10096.340000000004</v>
      </c>
      <c r="J6" s="1">
        <f t="shared" si="1"/>
        <v>18227.620000000003</v>
      </c>
      <c r="K6" s="1">
        <f t="shared" si="1"/>
        <v>21418.329999999994</v>
      </c>
      <c r="L6" s="1">
        <f>SUM(Quarters!H6:K6)</f>
        <v>19886.27</v>
      </c>
      <c r="M6" s="1">
        <f>M4*M24</f>
        <v>26076.152325507082</v>
      </c>
      <c r="N6" s="1">
        <f>N4*N24</f>
        <v>19110.312301592123</v>
      </c>
    </row>
    <row r="7" spans="1:14" x14ac:dyDescent="0.3">
      <c r="A7" t="s">
        <v>9</v>
      </c>
      <c r="B7" s="6">
        <f>'Data Sheet'!B25</f>
        <v>-201.37</v>
      </c>
      <c r="C7" s="6">
        <f>'Data Sheet'!C25</f>
        <v>-3666.12</v>
      </c>
      <c r="D7" s="6">
        <f>'Data Sheet'!D25</f>
        <v>754.1</v>
      </c>
      <c r="E7" s="6">
        <f>'Data Sheet'!E25</f>
        <v>2447.87</v>
      </c>
      <c r="F7" s="6">
        <f>'Data Sheet'!F25</f>
        <v>322.76</v>
      </c>
      <c r="G7" s="6">
        <f>'Data Sheet'!G25</f>
        <v>1908.56</v>
      </c>
      <c r="H7" s="6">
        <f>'Data Sheet'!H25</f>
        <v>3908.04</v>
      </c>
      <c r="I7" s="6">
        <f>'Data Sheet'!I25</f>
        <v>4215.54</v>
      </c>
      <c r="J7" s="6">
        <f>'Data Sheet'!J25</f>
        <v>9883.31</v>
      </c>
      <c r="K7" s="6">
        <f>'Data Sheet'!K25</f>
        <v>2589.85</v>
      </c>
      <c r="L7" s="6">
        <f>SUM(Quarters!H7:K7)</f>
        <v>2156.96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2665.82</v>
      </c>
      <c r="C8" s="6">
        <f>'Data Sheet'!C26</f>
        <v>2672.36</v>
      </c>
      <c r="D8" s="6">
        <f>'Data Sheet'!D26</f>
        <v>2698.72</v>
      </c>
      <c r="E8" s="6">
        <f>'Data Sheet'!E26</f>
        <v>2750.62</v>
      </c>
      <c r="F8" s="6">
        <f>'Data Sheet'!F26</f>
        <v>3006.5</v>
      </c>
      <c r="G8" s="6">
        <f>'Data Sheet'!G26</f>
        <v>3201.65</v>
      </c>
      <c r="H8" s="6">
        <f>'Data Sheet'!H26</f>
        <v>3117.54</v>
      </c>
      <c r="I8" s="6">
        <f>'Data Sheet'!I26</f>
        <v>3303.68</v>
      </c>
      <c r="J8" s="6">
        <f>'Data Sheet'!J26</f>
        <v>3931.33</v>
      </c>
      <c r="K8" s="6">
        <f>'Data Sheet'!K26</f>
        <v>4308.88</v>
      </c>
      <c r="L8" s="6">
        <f>SUM(Quarters!H8:K8)</f>
        <v>4501.95</v>
      </c>
      <c r="M8" s="6">
        <f>+$L8</f>
        <v>4501.95</v>
      </c>
      <c r="N8" s="6">
        <f>+$L8</f>
        <v>4501.95</v>
      </c>
    </row>
    <row r="9" spans="1:14" x14ac:dyDescent="0.3">
      <c r="A9" t="s">
        <v>11</v>
      </c>
      <c r="B9" s="6">
        <f>'Data Sheet'!B27</f>
        <v>5560.22</v>
      </c>
      <c r="C9" s="6">
        <f>'Data Sheet'!C27</f>
        <v>5901.73</v>
      </c>
      <c r="D9" s="6">
        <f>'Data Sheet'!D27</f>
        <v>5570.23</v>
      </c>
      <c r="E9" s="6">
        <f>'Data Sheet'!E27</f>
        <v>5656.52</v>
      </c>
      <c r="F9" s="6">
        <f>'Data Sheet'!F27</f>
        <v>5314.82</v>
      </c>
      <c r="G9" s="6">
        <f>'Data Sheet'!G27</f>
        <v>5106.33</v>
      </c>
      <c r="H9" s="6">
        <f>'Data Sheet'!H27</f>
        <v>4094.78</v>
      </c>
      <c r="I9" s="6">
        <f>'Data Sheet'!I27</f>
        <v>3333.5</v>
      </c>
      <c r="J9" s="6">
        <f>'Data Sheet'!J27</f>
        <v>3388.09</v>
      </c>
      <c r="K9" s="6">
        <f>'Data Sheet'!K27</f>
        <v>3339.79</v>
      </c>
      <c r="L9" s="6">
        <f>SUM(Quarters!H9:K9)</f>
        <v>3164.4700000000003</v>
      </c>
      <c r="M9" s="6">
        <f>+$L9</f>
        <v>3164.4700000000003</v>
      </c>
      <c r="N9" s="6">
        <f>+$L9</f>
        <v>3164.4700000000003</v>
      </c>
    </row>
    <row r="10" spans="1:14" x14ac:dyDescent="0.3">
      <c r="A10" t="s">
        <v>12</v>
      </c>
      <c r="B10" s="6">
        <f>'Data Sheet'!B28</f>
        <v>374.72</v>
      </c>
      <c r="C10" s="6">
        <f>'Data Sheet'!C28</f>
        <v>-6260.17</v>
      </c>
      <c r="D10" s="6">
        <f>'Data Sheet'!D28</f>
        <v>-2078.92</v>
      </c>
      <c r="E10" s="6">
        <f>'Data Sheet'!E28</f>
        <v>-975.86</v>
      </c>
      <c r="F10" s="6">
        <f>'Data Sheet'!F28</f>
        <v>-2264.92</v>
      </c>
      <c r="G10" s="6">
        <f>'Data Sheet'!G28</f>
        <v>2288.7399999999998</v>
      </c>
      <c r="H10" s="6">
        <f>'Data Sheet'!H28</f>
        <v>6577.13</v>
      </c>
      <c r="I10" s="6">
        <f>'Data Sheet'!I28</f>
        <v>7674.7</v>
      </c>
      <c r="J10" s="6">
        <f>'Data Sheet'!J28</f>
        <v>20791.509999999998</v>
      </c>
      <c r="K10" s="6">
        <f>'Data Sheet'!K28</f>
        <v>16359.51</v>
      </c>
      <c r="L10" s="6">
        <f>SUM(Quarters!H10:K10)</f>
        <v>14376.810000000001</v>
      </c>
      <c r="M10" s="6">
        <f>M6+M7-SUM(M8:M9)</f>
        <v>18409.732325507081</v>
      </c>
      <c r="N10" s="6">
        <f>N6+N7-SUM(N8:N9)</f>
        <v>11443.892301592123</v>
      </c>
    </row>
    <row r="11" spans="1:14" x14ac:dyDescent="0.3">
      <c r="A11" t="s">
        <v>13</v>
      </c>
      <c r="B11" s="6">
        <f>'Data Sheet'!B29</f>
        <v>-176.08</v>
      </c>
      <c r="C11" s="6">
        <f>'Data Sheet'!C29</f>
        <v>-86.07</v>
      </c>
      <c r="D11" s="6">
        <f>'Data Sheet'!D29</f>
        <v>-5.15</v>
      </c>
      <c r="E11" s="6">
        <f>'Data Sheet'!E29</f>
        <v>8.5399999999999991</v>
      </c>
      <c r="F11" s="6">
        <f>'Data Sheet'!F29</f>
        <v>9.85</v>
      </c>
      <c r="G11" s="6">
        <f>'Data Sheet'!G29</f>
        <v>1018.76</v>
      </c>
      <c r="H11" s="6">
        <f>'Data Sheet'!H29</f>
        <v>1665.55</v>
      </c>
      <c r="I11" s="6">
        <f>'Data Sheet'!I29</f>
        <v>-3051.94</v>
      </c>
      <c r="J11" s="6">
        <f>'Data Sheet'!J29</f>
        <v>-37.28</v>
      </c>
      <c r="K11" s="6">
        <f>'Data Sheet'!K29</f>
        <v>3609.9</v>
      </c>
      <c r="L11" s="6">
        <f>SUM(Quarters!H11:K11)</f>
        <v>3077.9</v>
      </c>
      <c r="M11" s="7">
        <f>IF($L10&gt;0,$L11/$L10,0)</f>
        <v>0.21408782615893232</v>
      </c>
      <c r="N11" s="7">
        <f>IF($L10&gt;0,$L11/$L10,0)</f>
        <v>0.21408782615893232</v>
      </c>
    </row>
    <row r="12" spans="1:14" s="2" customFormat="1" x14ac:dyDescent="0.3">
      <c r="A12" s="2" t="s">
        <v>14</v>
      </c>
      <c r="B12" s="1">
        <f>'Data Sheet'!B30</f>
        <v>550.79999999999995</v>
      </c>
      <c r="C12" s="1">
        <f>'Data Sheet'!C30</f>
        <v>-6174.1</v>
      </c>
      <c r="D12" s="1">
        <f>'Data Sheet'!D30</f>
        <v>-2102.9499999999998</v>
      </c>
      <c r="E12" s="1">
        <f>'Data Sheet'!E30</f>
        <v>-984.4</v>
      </c>
      <c r="F12" s="1">
        <f>'Data Sheet'!F30</f>
        <v>-2274.77</v>
      </c>
      <c r="G12" s="1">
        <f>'Data Sheet'!G30</f>
        <v>1269.98</v>
      </c>
      <c r="H12" s="1">
        <f>'Data Sheet'!H30</f>
        <v>4911.58</v>
      </c>
      <c r="I12" s="1">
        <f>'Data Sheet'!I30</f>
        <v>10726.64</v>
      </c>
      <c r="J12" s="1">
        <f>'Data Sheet'!J30</f>
        <v>20828.79</v>
      </c>
      <c r="K12" s="1">
        <f>'Data Sheet'!K30</f>
        <v>12938.77</v>
      </c>
      <c r="L12" s="1">
        <f>SUM(Quarters!H12:K12)</f>
        <v>11454.19</v>
      </c>
      <c r="M12" s="1">
        <f>M10-M11*M10</f>
        <v>14468.432751771445</v>
      </c>
      <c r="N12" s="1">
        <f>N10-N11*N10</f>
        <v>8993.8942759473248</v>
      </c>
    </row>
    <row r="13" spans="1:14" x14ac:dyDescent="0.3">
      <c r="A13" t="s">
        <v>57</v>
      </c>
      <c r="B13" s="6">
        <f>IF('Data Sheet'!B93&gt;0,B12/'Data Sheet'!B93,0)</f>
        <v>0.33041986358482756</v>
      </c>
      <c r="C13" s="6">
        <f>IF('Data Sheet'!C93&gt;0,C12/'Data Sheet'!C93,0)</f>
        <v>-3.2015535631873973</v>
      </c>
      <c r="D13" s="6">
        <f>IF('Data Sheet'!D93&gt;0,D12/'Data Sheet'!D93,0)</f>
        <v>-1.0904758694716536</v>
      </c>
      <c r="E13" s="6">
        <f>IF('Data Sheet'!E93&gt;0,E12/'Data Sheet'!E93,0)</f>
        <v>-0.5104564758591007</v>
      </c>
      <c r="F13" s="6">
        <f>IF('Data Sheet'!F93&gt;0,F12/'Data Sheet'!F93,0)</f>
        <v>-1.1795724071414126</v>
      </c>
      <c r="G13" s="6">
        <f>IF('Data Sheet'!G93&gt;0,G12/'Data Sheet'!G93,0)</f>
        <v>0.65854278262041932</v>
      </c>
      <c r="H13" s="6">
        <f>IF('Data Sheet'!H93&gt;0,H12/'Data Sheet'!H93,0)</f>
        <v>2.5468791321617656</v>
      </c>
      <c r="I13" s="6">
        <f>IF('Data Sheet'!I93&gt;0,I12/'Data Sheet'!I93,0)</f>
        <v>5.5622540148407804</v>
      </c>
      <c r="J13" s="6">
        <f>IF('Data Sheet'!J93&gt;0,J12/'Data Sheet'!J93,0)</f>
        <v>10.800681369168304</v>
      </c>
      <c r="K13" s="6">
        <f>IF('Data Sheet'!K93&gt;0,K12/'Data Sheet'!K93,0)</f>
        <v>6.709344713684942</v>
      </c>
      <c r="L13" s="6">
        <f>IF('Data Sheet'!$B6&gt;0,'Profit &amp; Loss'!L12/'Data Sheet'!$B6,0)</f>
        <v>5.9395236336647752</v>
      </c>
      <c r="M13" s="6">
        <f>IF('Data Sheet'!$B6&gt;0,'Profit &amp; Loss'!M12/'Data Sheet'!$B6,0)</f>
        <v>7.5025469519220458</v>
      </c>
      <c r="N13" s="6">
        <f>IF('Data Sheet'!$B6&gt;0,'Profit &amp; Loss'!N12/'Data Sheet'!$B6,0)</f>
        <v>4.6637472934071704</v>
      </c>
    </row>
    <row r="14" spans="1:14" x14ac:dyDescent="0.3">
      <c r="A14" t="s">
        <v>16</v>
      </c>
      <c r="B14" s="6">
        <f>IF(B15&gt;0,B15/B13,"")</f>
        <v>20.852257262164123</v>
      </c>
      <c r="C14" s="6">
        <f t="shared" ref="C14:K14" si="2">IF(C15&gt;0,C15/C13,"")</f>
        <v>-2.4925399005523072</v>
      </c>
      <c r="D14" s="6">
        <f t="shared" si="2"/>
        <v>-4.3467261703797053</v>
      </c>
      <c r="E14" s="6">
        <f t="shared" si="2"/>
        <v>-18.885057700121905</v>
      </c>
      <c r="F14" s="6">
        <f t="shared" si="2"/>
        <v>-4.7050948007930469</v>
      </c>
      <c r="G14" s="6">
        <f t="shared" si="2"/>
        <v>25.829756925305912</v>
      </c>
      <c r="H14" s="6">
        <f t="shared" si="2"/>
        <v>14.535436539769281</v>
      </c>
      <c r="I14" s="6">
        <f t="shared" si="2"/>
        <v>6.889293422730697</v>
      </c>
      <c r="J14" s="6">
        <f t="shared" si="2"/>
        <v>9.8845615707873584</v>
      </c>
      <c r="K14" s="6">
        <f t="shared" si="2"/>
        <v>15.181810496670085</v>
      </c>
      <c r="L14" s="6">
        <f t="shared" ref="L14" si="3">IF(L13&gt;0,L15/L13,0)</f>
        <v>33.420188594741312</v>
      </c>
      <c r="M14" s="6">
        <f>M25</f>
        <v>33.420188594741312</v>
      </c>
      <c r="N14" s="6">
        <f>N25</f>
        <v>16.343963521232364</v>
      </c>
    </row>
    <row r="15" spans="1:14" s="2" customFormat="1" x14ac:dyDescent="0.3">
      <c r="A15" s="2" t="s">
        <v>58</v>
      </c>
      <c r="B15" s="1">
        <f>'Data Sheet'!B90</f>
        <v>6.89</v>
      </c>
      <c r="C15" s="1">
        <f>'Data Sheet'!C90</f>
        <v>7.98</v>
      </c>
      <c r="D15" s="1">
        <f>'Data Sheet'!D90</f>
        <v>4.74</v>
      </c>
      <c r="E15" s="1">
        <f>'Data Sheet'!E90</f>
        <v>9.64</v>
      </c>
      <c r="F15" s="1">
        <f>'Data Sheet'!F90</f>
        <v>5.55</v>
      </c>
      <c r="G15" s="1">
        <f>'Data Sheet'!G90</f>
        <v>17.010000000000002</v>
      </c>
      <c r="H15" s="1">
        <f>'Data Sheet'!H90</f>
        <v>37.020000000000003</v>
      </c>
      <c r="I15" s="1">
        <f>'Data Sheet'!I90</f>
        <v>38.32</v>
      </c>
      <c r="J15" s="1">
        <f>'Data Sheet'!J90</f>
        <v>106.76</v>
      </c>
      <c r="K15" s="1">
        <f>'Data Sheet'!K90</f>
        <v>101.86</v>
      </c>
      <c r="L15" s="1">
        <f>'Data Sheet'!B8</f>
        <v>198.5</v>
      </c>
      <c r="M15" s="8">
        <f>M13*M14</f>
        <v>250.73653407413636</v>
      </c>
      <c r="N15" s="9">
        <f>N13*N14</f>
        <v>76.224115635692968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3">
      <c r="A19" t="s">
        <v>18</v>
      </c>
      <c r="B19" s="5">
        <f t="shared" ref="B19:L19" si="4">IF(B6&gt;0,B6/B4,0)</f>
        <v>0.34685012174251589</v>
      </c>
      <c r="C19" s="5">
        <f t="shared" ref="C19:K19" si="5">IF(C6&gt;0,C6/C4,0)</f>
        <v>0.26442207140144075</v>
      </c>
      <c r="D19" s="5">
        <f t="shared" si="5"/>
        <v>0.26772335684890075</v>
      </c>
      <c r="E19" s="5">
        <f t="shared" si="5"/>
        <v>0.20864898857737632</v>
      </c>
      <c r="F19" s="5">
        <f t="shared" si="5"/>
        <v>0.21662765058720582</v>
      </c>
      <c r="G19" s="5">
        <f t="shared" si="5"/>
        <v>0.33133751412963736</v>
      </c>
      <c r="H19" s="5">
        <f t="shared" si="5"/>
        <v>0.35658568130263668</v>
      </c>
      <c r="I19" s="5">
        <f t="shared" si="5"/>
        <v>0.26039413720266275</v>
      </c>
      <c r="J19" s="5">
        <f t="shared" si="5"/>
        <v>0.36200928477445948</v>
      </c>
      <c r="K19" s="5">
        <f t="shared" si="5"/>
        <v>0.38108812166733175</v>
      </c>
      <c r="L19" s="5">
        <f t="shared" si="4"/>
        <v>0.36653455554095365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9.2366195140734852E-2</v>
      </c>
      <c r="I23" s="5">
        <f>IF(D4=0,"",POWER($K4/D4,1/7)-1)</f>
        <v>0.15655825891673891</v>
      </c>
      <c r="J23" s="5">
        <f>IF(F4=0,"",POWER($K4/F4,1/5)-1)</f>
        <v>0.16254221530696156</v>
      </c>
      <c r="K23" s="5">
        <f>IF(H4=0,"",POWER($K4/H4, 1/3)-1)</f>
        <v>0.26580961827878458</v>
      </c>
      <c r="L23" s="5">
        <f>IF(ISERROR(MAX(IF(J4=0,"",(K4-J4)/J4),IF(K4=0,"",(L4-K4)/K4))),"",MAX(IF(J4=0,"",(K4-J4)/J4),IF(K4=0,"",(L4-K4)/K4)))</f>
        <v>0.11622035202701018</v>
      </c>
      <c r="M23" s="16">
        <f>MAX(K23:L23)</f>
        <v>0.26580961827878458</v>
      </c>
      <c r="N23" s="16">
        <f>MIN(H23:L23)</f>
        <v>9.2366195140734852E-2</v>
      </c>
    </row>
    <row r="24" spans="1:14" x14ac:dyDescent="0.3">
      <c r="G24" t="s">
        <v>18</v>
      </c>
      <c r="H24" s="5">
        <f>IF(SUM(B4:$K$4)=0,"",SUMPRODUCT(B19:$K$19,B4:$K$4)/SUM(B4:$K$4))</f>
        <v>0.31218653797252632</v>
      </c>
      <c r="I24" s="5">
        <f>IF(SUM(E4:$K$4)=0,"",SUMPRODUCT(E19:$K$19,E4:$K$4)/SUM(E4:$K$4))</f>
        <v>0.31660676040674296</v>
      </c>
      <c r="J24" s="5">
        <f>IF(SUM(G4:$K$4)=0,"",SUMPRODUCT(G19:$K$19,G4:$K$4)/SUM(G4:$K$4))</f>
        <v>0.34282724657144453</v>
      </c>
      <c r="K24" s="5">
        <f>IF(SUM(I4:$K$4)=0, "", SUMPRODUCT(I19:$K$19,I4:$K$4)/SUM(I4:$K$4))</f>
        <v>0.34227687176369198</v>
      </c>
      <c r="L24" s="5">
        <f>L19</f>
        <v>0.36653455554095365</v>
      </c>
      <c r="M24" s="16">
        <f>MAX(K24:L24)</f>
        <v>0.36653455554095365</v>
      </c>
      <c r="N24" s="16">
        <f>MIN(H24:L24)</f>
        <v>0.31218653797252632</v>
      </c>
    </row>
    <row r="25" spans="1:14" x14ac:dyDescent="0.3">
      <c r="G25" t="s">
        <v>23</v>
      </c>
      <c r="H25" s="6">
        <f>IF(ISERROR(AVERAGEIF(B14:$L14,"&gt;0")),"",AVERAGEIF(B14:$L14,"&gt;0"))</f>
        <v>18.084757830309822</v>
      </c>
      <c r="I25" s="6">
        <f>IF(ISERROR(AVERAGEIF(E14:$L14,"&gt;0")),"",AVERAGEIF(E14:$L14,"&gt;0"))</f>
        <v>17.623507925000776</v>
      </c>
      <c r="J25" s="6">
        <f>IF(ISERROR(AVERAGEIF(G14:$L14,"&gt;0")),"",AVERAGEIF(G14:$L14,"&gt;0"))</f>
        <v>17.623507925000776</v>
      </c>
      <c r="K25" s="6">
        <f>IF(ISERROR(AVERAGEIF(I14:$L14,"&gt;0")),"",AVERAGEIF(I14:$L14,"&gt;0"))</f>
        <v>16.343963521232364</v>
      </c>
      <c r="L25" s="6">
        <f>L14</f>
        <v>33.420188594741312</v>
      </c>
      <c r="M25" s="1">
        <f>MAX(K25:L25)</f>
        <v>33.420188594741312</v>
      </c>
      <c r="N25" s="1">
        <f>MIN(H25:L25)</f>
        <v>16.343963521232364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8" sqref="F18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ADANI POWER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12990.58</v>
      </c>
      <c r="C4" s="1">
        <f>'Data Sheet'!C42</f>
        <v>12991.44</v>
      </c>
      <c r="D4" s="1">
        <f>'Data Sheet'!D42</f>
        <v>13363.69</v>
      </c>
      <c r="E4" s="1">
        <f>'Data Sheet'!E42</f>
        <v>14955.63</v>
      </c>
      <c r="F4" s="1">
        <f>'Data Sheet'!F42</f>
        <v>13338.88</v>
      </c>
      <c r="G4" s="1">
        <f>'Data Sheet'!G42</f>
        <v>13671.18</v>
      </c>
      <c r="H4" s="1">
        <f>'Data Sheet'!H42</f>
        <v>14237.4</v>
      </c>
      <c r="I4" s="1">
        <f>'Data Sheet'!I42</f>
        <v>14109.15</v>
      </c>
      <c r="J4" s="1">
        <f>'Data Sheet'!J42</f>
        <v>13456.84</v>
      </c>
      <c r="K4" s="1">
        <f>'Data Sheet'!K42</f>
        <v>12451.44</v>
      </c>
    </row>
    <row r="5" spans="1:11" x14ac:dyDescent="0.3">
      <c r="A5" t="s">
        <v>7</v>
      </c>
      <c r="B5" s="6">
        <f>'Data Sheet'!B43</f>
        <v>7819.19</v>
      </c>
      <c r="C5" s="6">
        <f>'Data Sheet'!C43</f>
        <v>8346.1</v>
      </c>
      <c r="D5" s="6">
        <f>'Data Sheet'!D43</f>
        <v>8513.9500000000007</v>
      </c>
      <c r="E5" s="6">
        <f>'Data Sheet'!E43</f>
        <v>8761.32</v>
      </c>
      <c r="F5" s="6">
        <f>'Data Sheet'!F43</f>
        <v>8063.3</v>
      </c>
      <c r="G5" s="6">
        <f>'Data Sheet'!G43</f>
        <v>8648.26</v>
      </c>
      <c r="H5" s="6">
        <f>'Data Sheet'!H43</f>
        <v>9424.77</v>
      </c>
      <c r="I5" s="6">
        <f>'Data Sheet'!I43</f>
        <v>8423.8700000000008</v>
      </c>
      <c r="J5" s="6">
        <f>'Data Sheet'!J43</f>
        <v>8306.5499999999993</v>
      </c>
      <c r="K5" s="6">
        <f>'Data Sheet'!K43</f>
        <v>8213.3700000000008</v>
      </c>
    </row>
    <row r="6" spans="1:11" s="2" customFormat="1" x14ac:dyDescent="0.3">
      <c r="A6" s="2" t="s">
        <v>8</v>
      </c>
      <c r="B6" s="1">
        <f>'Data Sheet'!B50</f>
        <v>5171.3900000000003</v>
      </c>
      <c r="C6" s="1">
        <f>'Data Sheet'!C50</f>
        <v>4645.34</v>
      </c>
      <c r="D6" s="1">
        <f>'Data Sheet'!D50</f>
        <v>4849.74</v>
      </c>
      <c r="E6" s="1">
        <f>'Data Sheet'!E50</f>
        <v>6194.31</v>
      </c>
      <c r="F6" s="1">
        <f>'Data Sheet'!F50</f>
        <v>5275.58</v>
      </c>
      <c r="G6" s="1">
        <f>'Data Sheet'!G50</f>
        <v>5022.92</v>
      </c>
      <c r="H6" s="1">
        <f>'Data Sheet'!H50</f>
        <v>4812.63</v>
      </c>
      <c r="I6" s="1">
        <f>'Data Sheet'!I50</f>
        <v>5685.28</v>
      </c>
      <c r="J6" s="1">
        <f>'Data Sheet'!J50</f>
        <v>5150.29</v>
      </c>
      <c r="K6" s="1">
        <f>'Data Sheet'!K50</f>
        <v>4238.07</v>
      </c>
    </row>
    <row r="7" spans="1:11" x14ac:dyDescent="0.3">
      <c r="A7" t="s">
        <v>9</v>
      </c>
      <c r="B7" s="6">
        <f>'Data Sheet'!B44</f>
        <v>1945.1</v>
      </c>
      <c r="C7" s="6">
        <f>'Data Sheet'!C44</f>
        <v>363.83</v>
      </c>
      <c r="D7" s="6">
        <f>'Data Sheet'!D44</f>
        <v>517.83000000000004</v>
      </c>
      <c r="E7" s="6">
        <f>'Data Sheet'!E44</f>
        <v>518.32000000000005</v>
      </c>
      <c r="F7" s="6">
        <f>'Data Sheet'!F44</f>
        <v>723.96</v>
      </c>
      <c r="G7" s="6">
        <f>'Data Sheet'!G44</f>
        <v>1162.26</v>
      </c>
      <c r="H7" s="6">
        <f>'Data Sheet'!H44</f>
        <v>298.2</v>
      </c>
      <c r="I7" s="6">
        <f>'Data Sheet'!I44</f>
        <v>464.55</v>
      </c>
      <c r="J7" s="6">
        <f>'Data Sheet'!J44</f>
        <v>850.95</v>
      </c>
      <c r="K7" s="6">
        <f>'Data Sheet'!K44</f>
        <v>543.26</v>
      </c>
    </row>
    <row r="8" spans="1:11" x14ac:dyDescent="0.3">
      <c r="A8" t="s">
        <v>10</v>
      </c>
      <c r="B8" s="6">
        <f>'Data Sheet'!B45</f>
        <v>1004.48</v>
      </c>
      <c r="C8" s="6">
        <f>'Data Sheet'!C45</f>
        <v>1002.23</v>
      </c>
      <c r="D8" s="6">
        <f>'Data Sheet'!D45</f>
        <v>990.03</v>
      </c>
      <c r="E8" s="6">
        <f>'Data Sheet'!E45</f>
        <v>995.63</v>
      </c>
      <c r="F8" s="6">
        <f>'Data Sheet'!F45</f>
        <v>1058.5899999999999</v>
      </c>
      <c r="G8" s="6">
        <f>'Data Sheet'!G45</f>
        <v>1170.01</v>
      </c>
      <c r="H8" s="6">
        <f>'Data Sheet'!H45</f>
        <v>1084.6500000000001</v>
      </c>
      <c r="I8" s="6">
        <f>'Data Sheet'!I45</f>
        <v>1088.5899999999999</v>
      </c>
      <c r="J8" s="6">
        <f>'Data Sheet'!J45</f>
        <v>1193.4100000000001</v>
      </c>
      <c r="K8" s="6">
        <f>'Data Sheet'!K45</f>
        <v>1135.3</v>
      </c>
    </row>
    <row r="9" spans="1:11" x14ac:dyDescent="0.3">
      <c r="A9" t="s">
        <v>11</v>
      </c>
      <c r="B9" s="6">
        <f>'Data Sheet'!B46</f>
        <v>888.44</v>
      </c>
      <c r="C9" s="6">
        <f>'Data Sheet'!C46</f>
        <v>796.56</v>
      </c>
      <c r="D9" s="6">
        <f>'Data Sheet'!D46</f>
        <v>819.6</v>
      </c>
      <c r="E9" s="6">
        <f>'Data Sheet'!E46</f>
        <v>811.49</v>
      </c>
      <c r="F9" s="6">
        <f>'Data Sheet'!F46</f>
        <v>806.87</v>
      </c>
      <c r="G9" s="6">
        <f>'Data Sheet'!G46</f>
        <v>956.53</v>
      </c>
      <c r="H9" s="6">
        <f>'Data Sheet'!H46</f>
        <v>764.9</v>
      </c>
      <c r="I9" s="6">
        <f>'Data Sheet'!I46</f>
        <v>856.93</v>
      </c>
      <c r="J9" s="6">
        <f>'Data Sheet'!J46</f>
        <v>841.63</v>
      </c>
      <c r="K9" s="6">
        <f>'Data Sheet'!K46</f>
        <v>701.01</v>
      </c>
    </row>
    <row r="10" spans="1:11" x14ac:dyDescent="0.3">
      <c r="A10" t="s">
        <v>12</v>
      </c>
      <c r="B10" s="6">
        <f>'Data Sheet'!B47</f>
        <v>5223.57</v>
      </c>
      <c r="C10" s="6">
        <f>'Data Sheet'!C47</f>
        <v>3210.38</v>
      </c>
      <c r="D10" s="6">
        <f>'Data Sheet'!D47</f>
        <v>3557.94</v>
      </c>
      <c r="E10" s="6">
        <f>'Data Sheet'!E47</f>
        <v>4905.51</v>
      </c>
      <c r="F10" s="6">
        <f>'Data Sheet'!F47</f>
        <v>4134.08</v>
      </c>
      <c r="G10" s="6">
        <f>'Data Sheet'!G47</f>
        <v>4058.64</v>
      </c>
      <c r="H10" s="6">
        <f>'Data Sheet'!H47</f>
        <v>3261.28</v>
      </c>
      <c r="I10" s="6">
        <f>'Data Sheet'!I47</f>
        <v>4204.3100000000004</v>
      </c>
      <c r="J10" s="6">
        <f>'Data Sheet'!J47</f>
        <v>3966.2</v>
      </c>
      <c r="K10" s="6">
        <f>'Data Sheet'!K47</f>
        <v>2945.02</v>
      </c>
    </row>
    <row r="11" spans="1:11" x14ac:dyDescent="0.3">
      <c r="A11" t="s">
        <v>13</v>
      </c>
      <c r="B11" s="6">
        <f>'Data Sheet'!B48</f>
        <v>-1370.6</v>
      </c>
      <c r="C11" s="6">
        <f>'Data Sheet'!C48</f>
        <v>472.42</v>
      </c>
      <c r="D11" s="6">
        <f>'Data Sheet'!D48</f>
        <v>820.7</v>
      </c>
      <c r="E11" s="6">
        <f>'Data Sheet'!E48</f>
        <v>992.72</v>
      </c>
      <c r="F11" s="6">
        <f>'Data Sheet'!F48</f>
        <v>836.56</v>
      </c>
      <c r="G11" s="6">
        <f>'Data Sheet'!G48</f>
        <v>1118.57</v>
      </c>
      <c r="H11" s="6">
        <f>'Data Sheet'!H48</f>
        <v>662.05</v>
      </c>
      <c r="I11" s="6">
        <f>'Data Sheet'!I48</f>
        <v>899.18</v>
      </c>
      <c r="J11" s="6">
        <f>'Data Sheet'!J48</f>
        <v>1059.74</v>
      </c>
      <c r="K11" s="6">
        <f>'Data Sheet'!K48</f>
        <v>456.93</v>
      </c>
    </row>
    <row r="12" spans="1:11" s="2" customFormat="1" x14ac:dyDescent="0.3">
      <c r="A12" s="2" t="s">
        <v>14</v>
      </c>
      <c r="B12" s="1">
        <f>'Data Sheet'!B49</f>
        <v>6594.17</v>
      </c>
      <c r="C12" s="1">
        <f>'Data Sheet'!C49</f>
        <v>2737.96</v>
      </c>
      <c r="D12" s="1">
        <f>'Data Sheet'!D49</f>
        <v>2737.24</v>
      </c>
      <c r="E12" s="1">
        <f>'Data Sheet'!E49</f>
        <v>3912.79</v>
      </c>
      <c r="F12" s="1">
        <f>'Data Sheet'!F49</f>
        <v>3331.8</v>
      </c>
      <c r="G12" s="1">
        <f>'Data Sheet'!G49</f>
        <v>3057.21</v>
      </c>
      <c r="H12" s="1">
        <f>'Data Sheet'!H49</f>
        <v>2636.97</v>
      </c>
      <c r="I12" s="1">
        <f>'Data Sheet'!I49</f>
        <v>3384.86</v>
      </c>
      <c r="J12" s="1">
        <f>'Data Sheet'!J49</f>
        <v>2952.78</v>
      </c>
      <c r="K12" s="1">
        <f>'Data Sheet'!K49</f>
        <v>2479.58</v>
      </c>
    </row>
    <row r="14" spans="1:11" s="2" customFormat="1" x14ac:dyDescent="0.3">
      <c r="A14" s="2" t="s">
        <v>18</v>
      </c>
      <c r="B14" s="10">
        <f>IF(B4&gt;0,B6/B4,"")</f>
        <v>0.39808769123472548</v>
      </c>
      <c r="C14" s="10">
        <f t="shared" ref="C14:K14" si="0">IF(C4&gt;0,C6/C4,"")</f>
        <v>0.35756929177981811</v>
      </c>
      <c r="D14" s="10">
        <f t="shared" si="0"/>
        <v>0.36290425773121043</v>
      </c>
      <c r="E14" s="10">
        <f t="shared" si="0"/>
        <v>0.41417914190174543</v>
      </c>
      <c r="F14" s="10">
        <f t="shared" si="0"/>
        <v>0.39550397034833512</v>
      </c>
      <c r="G14" s="10">
        <f t="shared" si="0"/>
        <v>0.3674093969942609</v>
      </c>
      <c r="H14" s="10">
        <f t="shared" si="0"/>
        <v>0.3380273083568629</v>
      </c>
      <c r="I14" s="10">
        <f t="shared" si="0"/>
        <v>0.40294985877958628</v>
      </c>
      <c r="J14" s="10">
        <f t="shared" si="0"/>
        <v>0.38272655393093774</v>
      </c>
      <c r="K14" s="10">
        <f t="shared" si="0"/>
        <v>0.34036786106667177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81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H36" sqref="H36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ADANI POWER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3333.94</v>
      </c>
      <c r="C4" s="14">
        <f>'Data Sheet'!C57</f>
        <v>3856.94</v>
      </c>
      <c r="D4" s="14">
        <f>'Data Sheet'!D57</f>
        <v>3856.94</v>
      </c>
      <c r="E4" s="14">
        <f>'Data Sheet'!E57</f>
        <v>3856.94</v>
      </c>
      <c r="F4" s="14">
        <f>'Data Sheet'!F57</f>
        <v>3856.94</v>
      </c>
      <c r="G4" s="14">
        <f>'Data Sheet'!G57</f>
        <v>3856.94</v>
      </c>
      <c r="H4" s="14">
        <f>'Data Sheet'!H57</f>
        <v>3856.94</v>
      </c>
      <c r="I4" s="14">
        <f>'Data Sheet'!I57</f>
        <v>3856.94</v>
      </c>
      <c r="J4" s="14">
        <f>'Data Sheet'!J57</f>
        <v>3856.94</v>
      </c>
      <c r="K4" s="14">
        <f>'Data Sheet'!K57</f>
        <v>3856.94</v>
      </c>
    </row>
    <row r="5" spans="1:11" x14ac:dyDescent="0.3">
      <c r="A5" t="s">
        <v>25</v>
      </c>
      <c r="B5" s="14">
        <f>'Data Sheet'!B58</f>
        <v>4133.92</v>
      </c>
      <c r="C5" s="14">
        <f>'Data Sheet'!C58</f>
        <v>-857.38</v>
      </c>
      <c r="D5" s="14">
        <f>'Data Sheet'!D58</f>
        <v>-2967.61</v>
      </c>
      <c r="E5" s="14">
        <f>'Data Sheet'!E58</f>
        <v>3855.35</v>
      </c>
      <c r="F5" s="14">
        <f>'Data Sheet'!F58</f>
        <v>2623.5</v>
      </c>
      <c r="G5" s="14">
        <f>'Data Sheet'!G58</f>
        <v>9255.65</v>
      </c>
      <c r="H5" s="14">
        <f>'Data Sheet'!H58</f>
        <v>14599.95</v>
      </c>
      <c r="I5" s="14">
        <f>'Data Sheet'!I58</f>
        <v>26018.720000000001</v>
      </c>
      <c r="J5" s="14">
        <f>'Data Sheet'!J58</f>
        <v>39041.54</v>
      </c>
      <c r="K5" s="14">
        <f>'Data Sheet'!K58</f>
        <v>52490.15</v>
      </c>
    </row>
    <row r="6" spans="1:11" x14ac:dyDescent="0.3">
      <c r="A6" t="s">
        <v>71</v>
      </c>
      <c r="B6" s="14">
        <f>'Data Sheet'!B59</f>
        <v>52729.32</v>
      </c>
      <c r="C6" s="14">
        <f>'Data Sheet'!C59</f>
        <v>52484.37</v>
      </c>
      <c r="D6" s="14">
        <f>'Data Sheet'!D59</f>
        <v>52834.81</v>
      </c>
      <c r="E6" s="14">
        <f>'Data Sheet'!E59</f>
        <v>46979.7</v>
      </c>
      <c r="F6" s="14">
        <f>'Data Sheet'!F59</f>
        <v>55198.76</v>
      </c>
      <c r="G6" s="14">
        <f>'Data Sheet'!G59</f>
        <v>52411.27</v>
      </c>
      <c r="H6" s="14">
        <f>'Data Sheet'!H59</f>
        <v>49144.98</v>
      </c>
      <c r="I6" s="14">
        <f>'Data Sheet'!I59</f>
        <v>42349.53</v>
      </c>
      <c r="J6" s="14">
        <f>'Data Sheet'!J59</f>
        <v>34862.11</v>
      </c>
      <c r="K6" s="14">
        <f>'Data Sheet'!K59</f>
        <v>39494.870000000003</v>
      </c>
    </row>
    <row r="7" spans="1:11" x14ac:dyDescent="0.3">
      <c r="A7" t="s">
        <v>72</v>
      </c>
      <c r="B7" s="14">
        <f>'Data Sheet'!B60</f>
        <v>15597.03</v>
      </c>
      <c r="C7" s="14">
        <f>'Data Sheet'!C60</f>
        <v>16027.12</v>
      </c>
      <c r="D7" s="14">
        <f>'Data Sheet'!D60</f>
        <v>15803.93</v>
      </c>
      <c r="E7" s="14">
        <f>'Data Sheet'!E60</f>
        <v>13292.61</v>
      </c>
      <c r="F7" s="14">
        <f>'Data Sheet'!F60</f>
        <v>13345.8</v>
      </c>
      <c r="G7" s="14">
        <f>'Data Sheet'!G60</f>
        <v>13011.61</v>
      </c>
      <c r="H7" s="14">
        <f>'Data Sheet'!H60</f>
        <v>14379.15</v>
      </c>
      <c r="I7" s="14">
        <f>'Data Sheet'!I60</f>
        <v>13596.08</v>
      </c>
      <c r="J7" s="14">
        <f>'Data Sheet'!J60</f>
        <v>14248.38</v>
      </c>
      <c r="K7" s="14">
        <f>'Data Sheet'!K60</f>
        <v>17075.61</v>
      </c>
    </row>
    <row r="8" spans="1:11" s="2" customFormat="1" x14ac:dyDescent="0.3">
      <c r="A8" s="2" t="s">
        <v>26</v>
      </c>
      <c r="B8" s="15">
        <f>'Data Sheet'!B61</f>
        <v>75794.210000000006</v>
      </c>
      <c r="C8" s="15">
        <f>'Data Sheet'!C61</f>
        <v>71511.05</v>
      </c>
      <c r="D8" s="15">
        <f>'Data Sheet'!D61</f>
        <v>69528.070000000007</v>
      </c>
      <c r="E8" s="15">
        <f>'Data Sheet'!E61</f>
        <v>67984.600000000006</v>
      </c>
      <c r="F8" s="15">
        <f>'Data Sheet'!F61</f>
        <v>75025</v>
      </c>
      <c r="G8" s="15">
        <f>'Data Sheet'!G61</f>
        <v>78535.47</v>
      </c>
      <c r="H8" s="15">
        <f>'Data Sheet'!H61</f>
        <v>81981.02</v>
      </c>
      <c r="I8" s="15">
        <f>'Data Sheet'!I61</f>
        <v>85821.27</v>
      </c>
      <c r="J8" s="15">
        <f>'Data Sheet'!J61</f>
        <v>92008.97</v>
      </c>
      <c r="K8" s="15">
        <f>'Data Sheet'!K61</f>
        <v>112917.57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56941.22</v>
      </c>
      <c r="C10" s="14">
        <f>'Data Sheet'!C62</f>
        <v>54390.93</v>
      </c>
      <c r="D10" s="14">
        <f>'Data Sheet'!D62</f>
        <v>52137.14</v>
      </c>
      <c r="E10" s="14">
        <f>'Data Sheet'!E62</f>
        <v>50418.76</v>
      </c>
      <c r="F10" s="14">
        <f>'Data Sheet'!F62</f>
        <v>55845.81</v>
      </c>
      <c r="G10" s="14">
        <f>'Data Sheet'!G62</f>
        <v>52851.3</v>
      </c>
      <c r="H10" s="14">
        <f>'Data Sheet'!H62</f>
        <v>53274.21</v>
      </c>
      <c r="I10" s="14">
        <f>'Data Sheet'!I62</f>
        <v>51451.38</v>
      </c>
      <c r="J10" s="14">
        <f>'Data Sheet'!J62</f>
        <v>63015.85</v>
      </c>
      <c r="K10" s="14">
        <f>'Data Sheet'!K62</f>
        <v>69297.45</v>
      </c>
    </row>
    <row r="11" spans="1:11" x14ac:dyDescent="0.3">
      <c r="A11" t="s">
        <v>28</v>
      </c>
      <c r="B11" s="14">
        <f>'Data Sheet'!B63</f>
        <v>87.92</v>
      </c>
      <c r="C11" s="14">
        <f>'Data Sheet'!C63</f>
        <v>124.61</v>
      </c>
      <c r="D11" s="14">
        <f>'Data Sheet'!D63</f>
        <v>119.86</v>
      </c>
      <c r="E11" s="14">
        <f>'Data Sheet'!E63</f>
        <v>350.08</v>
      </c>
      <c r="F11" s="14">
        <f>'Data Sheet'!F63</f>
        <v>2346.77</v>
      </c>
      <c r="G11" s="14">
        <f>'Data Sheet'!G63</f>
        <v>6439.42</v>
      </c>
      <c r="H11" s="14">
        <f>'Data Sheet'!H63</f>
        <v>10269.74</v>
      </c>
      <c r="I11" s="14">
        <f>'Data Sheet'!I63</f>
        <v>12879.54</v>
      </c>
      <c r="J11" s="14">
        <f>'Data Sheet'!J63</f>
        <v>925.12</v>
      </c>
      <c r="K11" s="14">
        <f>'Data Sheet'!K63</f>
        <v>12104.42</v>
      </c>
    </row>
    <row r="12" spans="1:11" x14ac:dyDescent="0.3">
      <c r="A12" t="s">
        <v>29</v>
      </c>
      <c r="B12" s="14">
        <f>'Data Sheet'!B64</f>
        <v>0.06</v>
      </c>
      <c r="C12" s="14">
        <f>'Data Sheet'!C64</f>
        <v>164.33</v>
      </c>
      <c r="D12" s="14">
        <f>'Data Sheet'!D64</f>
        <v>0.01</v>
      </c>
      <c r="E12" s="14">
        <f>'Data Sheet'!E64</f>
        <v>2.72</v>
      </c>
      <c r="F12" s="14">
        <f>'Data Sheet'!F64</f>
        <v>2.8</v>
      </c>
      <c r="G12" s="14">
        <f>'Data Sheet'!G64</f>
        <v>20.100000000000001</v>
      </c>
      <c r="H12" s="14">
        <f>'Data Sheet'!H64</f>
        <v>183.25</v>
      </c>
      <c r="I12" s="14">
        <f>'Data Sheet'!I64</f>
        <v>654.04999999999995</v>
      </c>
      <c r="J12" s="14">
        <f>'Data Sheet'!J64</f>
        <v>373.51</v>
      </c>
      <c r="K12" s="14">
        <f>'Data Sheet'!K64</f>
        <v>1097.21</v>
      </c>
    </row>
    <row r="13" spans="1:11" x14ac:dyDescent="0.3">
      <c r="A13" t="s">
        <v>73</v>
      </c>
      <c r="B13" s="14">
        <f>'Data Sheet'!B65</f>
        <v>18765.009999999998</v>
      </c>
      <c r="C13" s="14">
        <f>'Data Sheet'!C65</f>
        <v>16831.18</v>
      </c>
      <c r="D13" s="14">
        <f>'Data Sheet'!D65</f>
        <v>17271.060000000001</v>
      </c>
      <c r="E13" s="14">
        <f>'Data Sheet'!E65</f>
        <v>17213.04</v>
      </c>
      <c r="F13" s="14">
        <f>'Data Sheet'!F65</f>
        <v>16829.62</v>
      </c>
      <c r="G13" s="14">
        <f>'Data Sheet'!G65</f>
        <v>19224.650000000001</v>
      </c>
      <c r="H13" s="14">
        <f>'Data Sheet'!H65</f>
        <v>18253.82</v>
      </c>
      <c r="I13" s="14">
        <f>'Data Sheet'!I65</f>
        <v>20836.3</v>
      </c>
      <c r="J13" s="14">
        <f>'Data Sheet'!J65</f>
        <v>27694.49</v>
      </c>
      <c r="K13" s="14">
        <f>'Data Sheet'!K65</f>
        <v>30418.49</v>
      </c>
    </row>
    <row r="14" spans="1:11" s="2" customFormat="1" x14ac:dyDescent="0.3">
      <c r="A14" s="2" t="s">
        <v>26</v>
      </c>
      <c r="B14" s="14">
        <f>'Data Sheet'!B66</f>
        <v>75794.210000000006</v>
      </c>
      <c r="C14" s="14">
        <f>'Data Sheet'!C66</f>
        <v>71511.05</v>
      </c>
      <c r="D14" s="14">
        <f>'Data Sheet'!D66</f>
        <v>69528.070000000007</v>
      </c>
      <c r="E14" s="14">
        <f>'Data Sheet'!E66</f>
        <v>67984.600000000006</v>
      </c>
      <c r="F14" s="14">
        <f>'Data Sheet'!F66</f>
        <v>75025</v>
      </c>
      <c r="G14" s="14">
        <f>'Data Sheet'!G66</f>
        <v>78535.47</v>
      </c>
      <c r="H14" s="14">
        <f>'Data Sheet'!H66</f>
        <v>81981.02</v>
      </c>
      <c r="I14" s="14">
        <f>'Data Sheet'!I66</f>
        <v>85821.27</v>
      </c>
      <c r="J14" s="14">
        <f>'Data Sheet'!J66</f>
        <v>92008.97</v>
      </c>
      <c r="K14" s="14">
        <f>'Data Sheet'!K66</f>
        <v>112917.57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3167.9799999999977</v>
      </c>
      <c r="C16" s="4">
        <f t="shared" ref="C16:K16" si="0">C13-C7</f>
        <v>804.05999999999949</v>
      </c>
      <c r="D16" s="4">
        <f t="shared" si="0"/>
        <v>1467.130000000001</v>
      </c>
      <c r="E16" s="4">
        <f t="shared" si="0"/>
        <v>3920.4300000000003</v>
      </c>
      <c r="F16" s="4">
        <f t="shared" si="0"/>
        <v>3483.8199999999997</v>
      </c>
      <c r="G16" s="4">
        <f t="shared" si="0"/>
        <v>6213.0400000000009</v>
      </c>
      <c r="H16" s="4">
        <f t="shared" si="0"/>
        <v>3874.67</v>
      </c>
      <c r="I16" s="4">
        <f t="shared" si="0"/>
        <v>7240.2199999999993</v>
      </c>
      <c r="J16" s="4">
        <f t="shared" si="0"/>
        <v>13446.110000000002</v>
      </c>
      <c r="K16" s="4">
        <f t="shared" si="0"/>
        <v>13342.880000000001</v>
      </c>
    </row>
    <row r="17" spans="1:11" x14ac:dyDescent="0.3">
      <c r="A17" t="s">
        <v>44</v>
      </c>
      <c r="B17" s="4">
        <f>'Data Sheet'!B67</f>
        <v>12476.6</v>
      </c>
      <c r="C17" s="4">
        <f>'Data Sheet'!C67</f>
        <v>7704.34</v>
      </c>
      <c r="D17" s="4">
        <f>'Data Sheet'!D67</f>
        <v>6069.81</v>
      </c>
      <c r="E17" s="4">
        <f>'Data Sheet'!E67</f>
        <v>8550.99</v>
      </c>
      <c r="F17" s="4">
        <f>'Data Sheet'!F67</f>
        <v>8366.4699999999993</v>
      </c>
      <c r="G17" s="4">
        <f>'Data Sheet'!G67</f>
        <v>11437.92</v>
      </c>
      <c r="H17" s="4">
        <f>'Data Sheet'!H67</f>
        <v>9560.92</v>
      </c>
      <c r="I17" s="4">
        <f>'Data Sheet'!I67</f>
        <v>11529.36</v>
      </c>
      <c r="J17" s="4">
        <f>'Data Sheet'!J67</f>
        <v>11677.48</v>
      </c>
      <c r="K17" s="4">
        <f>'Data Sheet'!K67</f>
        <v>13022.07</v>
      </c>
    </row>
    <row r="18" spans="1:11" x14ac:dyDescent="0.3">
      <c r="A18" t="s">
        <v>45</v>
      </c>
      <c r="B18" s="4">
        <f>'Data Sheet'!B68</f>
        <v>1619.2</v>
      </c>
      <c r="C18" s="4">
        <f>'Data Sheet'!C68</f>
        <v>1760.41</v>
      </c>
      <c r="D18" s="4">
        <f>'Data Sheet'!D68</f>
        <v>873.98</v>
      </c>
      <c r="E18" s="4">
        <f>'Data Sheet'!E68</f>
        <v>1224.08</v>
      </c>
      <c r="F18" s="4">
        <f>'Data Sheet'!F68</f>
        <v>2522.77</v>
      </c>
      <c r="G18" s="4">
        <f>'Data Sheet'!G68</f>
        <v>2025.11</v>
      </c>
      <c r="H18" s="4">
        <f>'Data Sheet'!H68</f>
        <v>2258.27</v>
      </c>
      <c r="I18" s="4">
        <f>'Data Sheet'!I68</f>
        <v>3075.2</v>
      </c>
      <c r="J18" s="4">
        <f>'Data Sheet'!J68</f>
        <v>4142.1000000000004</v>
      </c>
      <c r="K18" s="4">
        <f>'Data Sheet'!K68</f>
        <v>3317.28</v>
      </c>
    </row>
    <row r="20" spans="1:11" x14ac:dyDescent="0.3">
      <c r="A20" t="s">
        <v>46</v>
      </c>
      <c r="B20" s="4">
        <f>IF('Profit &amp; Loss'!B4&gt;0,'Balance Sheet'!B17/('Profit &amp; Loss'!B4/365),0)</f>
        <v>179.44988696604409</v>
      </c>
      <c r="C20" s="4">
        <f>IF('Profit &amp; Loss'!C4&gt;0,'Balance Sheet'!C17/('Profit &amp; Loss'!C4/365),0)</f>
        <v>124.34316537632803</v>
      </c>
      <c r="D20" s="4">
        <f>IF('Profit &amp; Loss'!D4&gt;0,'Balance Sheet'!D17/('Profit &amp; Loss'!D4/365),0)</f>
        <v>109.11397252204955</v>
      </c>
      <c r="E20" s="4">
        <f>IF('Profit &amp; Loss'!E4&gt;0,'Balance Sheet'!E17/('Profit &amp; Loss'!E4/365),0)</f>
        <v>130.67693134116391</v>
      </c>
      <c r="F20" s="4">
        <f>IF('Profit &amp; Loss'!F4&gt;0,'Balance Sheet'!F17/('Profit &amp; Loss'!F4/365),0)</f>
        <v>115.37682694240378</v>
      </c>
      <c r="G20" s="4">
        <f>IF('Profit &amp; Loss'!G4&gt;0,'Balance Sheet'!G17/('Profit &amp; Loss'!G4/365),0)</f>
        <v>159.21453708943966</v>
      </c>
      <c r="H20" s="4">
        <f>IF('Profit &amp; Loss'!H4&gt;0,'Balance Sheet'!H17/('Profit &amp; Loss'!H4/365),0)</f>
        <v>125.93241428188911</v>
      </c>
      <c r="I20" s="4">
        <f>IF('Profit &amp; Loss'!I4&gt;0,'Balance Sheet'!I17/('Profit &amp; Loss'!I4/365),0)</f>
        <v>108.5338725359977</v>
      </c>
      <c r="J20" s="4">
        <f>IF('Profit &amp; Loss'!J4&gt;0,'Balance Sheet'!J17/('Profit &amp; Loss'!J4/365),0)</f>
        <v>84.650931208261952</v>
      </c>
      <c r="K20" s="4">
        <f>IF('Profit &amp; Loss'!K4&gt;0,'Balance Sheet'!K17/('Profit &amp; Loss'!K4/365),0)</f>
        <v>84.569292364530142</v>
      </c>
    </row>
    <row r="21" spans="1:11" x14ac:dyDescent="0.3">
      <c r="A21" t="s">
        <v>47</v>
      </c>
      <c r="B21" s="4">
        <f>IF('Balance Sheet'!B18&gt;0,'Profit &amp; Loss'!B4/'Balance Sheet'!B18,0)</f>
        <v>15.672758152173914</v>
      </c>
      <c r="C21" s="4">
        <f>IF('Balance Sheet'!C18&gt;0,'Profit &amp; Loss'!C4/'Balance Sheet'!C18,0)</f>
        <v>12.846728887020635</v>
      </c>
      <c r="D21" s="4">
        <f>IF('Balance Sheet'!D18&gt;0,'Profit &amp; Loss'!D4/'Balance Sheet'!D18,0)</f>
        <v>23.23197327169958</v>
      </c>
      <c r="E21" s="4">
        <f>IF('Balance Sheet'!E18&gt;0,'Profit &amp; Loss'!E4/'Balance Sheet'!E18,0)</f>
        <v>19.511943663812826</v>
      </c>
      <c r="F21" s="4">
        <f>IF('Balance Sheet'!F18&gt;0,'Profit &amp; Loss'!F4/'Balance Sheet'!F18,0)</f>
        <v>10.491531134427634</v>
      </c>
      <c r="G21" s="4">
        <f>IF('Balance Sheet'!G18&gt;0,'Profit &amp; Loss'!G4/'Balance Sheet'!G18,0)</f>
        <v>12.948175654655797</v>
      </c>
      <c r="H21" s="4">
        <f>IF('Balance Sheet'!H18&gt;0,'Profit &amp; Loss'!H4/'Balance Sheet'!H18,0)</f>
        <v>12.270977341061963</v>
      </c>
      <c r="I21" s="4">
        <f>IF('Balance Sheet'!I18&gt;0,'Profit &amp; Loss'!I4/'Balance Sheet'!I18,0)</f>
        <v>12.608383194588972</v>
      </c>
      <c r="J21" s="4">
        <f>IF('Balance Sheet'!J18&gt;0,'Profit &amp; Loss'!J4/'Balance Sheet'!J18,0)</f>
        <v>12.155971608604331</v>
      </c>
      <c r="K21" s="4">
        <f>IF('Balance Sheet'!K18&gt;0,'Profit &amp; Loss'!K4/'Balance Sheet'!K18,0)</f>
        <v>16.942522186851878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7.3756069342489003E-2</v>
      </c>
      <c r="C23" s="10">
        <f>IF(SUM('Balance Sheet'!C4:C5)&gt;0,'Profit &amp; Loss'!C12/SUM('Balance Sheet'!C4:C5),"")</f>
        <v>-2.0583352224992999</v>
      </c>
      <c r="D23" s="10">
        <f>IF(SUM('Balance Sheet'!D4:D5)&gt;0,'Profit &amp; Loss'!D12/SUM('Balance Sheet'!D4:D5),"")</f>
        <v>-2.364645294772469</v>
      </c>
      <c r="E23" s="10">
        <f>IF(SUM('Balance Sheet'!E4:E5)&gt;0,'Profit &amp; Loss'!E12/SUM('Balance Sheet'!E4:E5),"")</f>
        <v>-0.12764042845899207</v>
      </c>
      <c r="F23" s="10">
        <f>IF(SUM('Balance Sheet'!F4:F5)&gt;0,'Profit &amp; Loss'!F12/SUM('Balance Sheet'!F4:F5),"")</f>
        <v>-0.35102091833270577</v>
      </c>
      <c r="G23" s="10">
        <f>IF(SUM('Balance Sheet'!G4:G5)&gt;0,'Profit &amp; Loss'!G12/SUM('Balance Sheet'!G4:G5),"")</f>
        <v>9.6851956783518739E-2</v>
      </c>
      <c r="H23" s="10">
        <f>IF(SUM('Balance Sheet'!H4:H5)&gt;0,'Profit &amp; Loss'!H12/SUM('Balance Sheet'!H4:H5),"")</f>
        <v>0.26611092117902851</v>
      </c>
      <c r="I23" s="10">
        <f>IF(SUM('Balance Sheet'!I4:I5)&gt;0,'Profit &amp; Loss'!I12/SUM('Balance Sheet'!I4:I5),"")</f>
        <v>0.35904277930596346</v>
      </c>
      <c r="J23" s="10">
        <f>IF(SUM('Balance Sheet'!J4:J5)&gt;0,'Profit &amp; Loss'!J12/SUM('Balance Sheet'!J4:J5),"")</f>
        <v>0.48553678358767022</v>
      </c>
      <c r="K23" s="10">
        <f>IF(SUM('Balance Sheet'!K4:K5)&gt;0,'Profit &amp; Loss'!K12/SUM('Balance Sheet'!K4:K5),"")</f>
        <v>0.22962623269453666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-6.1970359724245463E-3</v>
      </c>
      <c r="D24" s="10">
        <f>IF((C4+C5+C6+D4+D5+D6)&gt;0,('Profit &amp; Loss'!D10+'Profit &amp; Loss'!D9)*2/(C4+C5+C6+D4+D5+D6),"")</f>
        <v>6.3938681454584798E-2</v>
      </c>
      <c r="E24" s="10">
        <f>IF((D4+D5+D6+E4+E5+E6)&gt;0,('Profit &amp; Loss'!E10+'Profit &amp; Loss'!E9)*2/(D4+D5+D6+E4+E5+E6),"")</f>
        <v>8.6346192213280451E-2</v>
      </c>
      <c r="F24" s="10">
        <f>IF((E4+E5+E6+F4+F5+F6)&gt;0,('Profit &amp; Loss'!F10+'Profit &amp; Loss'!F9)*2/(E4+E5+E6+F4+F5+F6),"")</f>
        <v>5.24167536655765E-2</v>
      </c>
      <c r="G24" s="10">
        <f>IF((F4+F5+F6+G4+G5+G6)&gt;0,('Profit &amp; Loss'!G10+'Profit &amp; Loss'!G9)*2/(F4+F5+F6+G4+G5+G6),"")</f>
        <v>0.11627188842784128</v>
      </c>
      <c r="H24" s="10">
        <f>IF((G4+G5+G6+H4+H5+H6)&gt;0,('Profit &amp; Loss'!H10+'Profit &amp; Loss'!H9)*2/(G4+G5+G6+H4+H5+H6),"")</f>
        <v>0.16032828514818284</v>
      </c>
      <c r="I24" s="10">
        <f>IF((H4+H5+H6+I4+I5+I6)&gt;0,('Profit &amp; Loss'!I10+'Profit &amp; Loss'!I9)*2/(H4+H5+H6+I4+I5+I6),"")</f>
        <v>0.15745450129610106</v>
      </c>
      <c r="J24" s="10">
        <f>IF((I4+I5+I6+J4+J5+J6)&gt;0,('Profit &amp; Loss'!J10+'Profit &amp; Loss'!J9)*2/(I4+I5+I6+J4+J5+J6),"")</f>
        <v>0.32242523257871503</v>
      </c>
      <c r="K24" s="10">
        <f>IF((J4+J5+J6+K4+K5+K6)&gt;0,('Profit &amp; Loss'!K10+'Profit &amp; Loss'!K9)*2/(J4+J5+J6+K4+K5+K6),"")</f>
        <v>0.22694712721673732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3" sqref="C13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ADANI POWER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5257.21</v>
      </c>
      <c r="C4" s="1">
        <f>'Data Sheet'!C82</f>
        <v>4725.2</v>
      </c>
      <c r="D4" s="1">
        <f>'Data Sheet'!D82</f>
        <v>5101.1499999999996</v>
      </c>
      <c r="E4" s="1">
        <f>'Data Sheet'!E82</f>
        <v>5610.38</v>
      </c>
      <c r="F4" s="1">
        <f>'Data Sheet'!F82</f>
        <v>5597.55</v>
      </c>
      <c r="G4" s="1">
        <f>'Data Sheet'!G82</f>
        <v>7014.35</v>
      </c>
      <c r="H4" s="1">
        <f>'Data Sheet'!H82</f>
        <v>10232.73</v>
      </c>
      <c r="I4" s="1">
        <f>'Data Sheet'!I82</f>
        <v>8430.5300000000007</v>
      </c>
      <c r="J4" s="1">
        <f>'Data Sheet'!J82</f>
        <v>14170.15</v>
      </c>
      <c r="K4" s="1">
        <f>'Data Sheet'!K82</f>
        <v>21501.11</v>
      </c>
    </row>
    <row r="5" spans="1:11" x14ac:dyDescent="0.3">
      <c r="A5" t="s">
        <v>33</v>
      </c>
      <c r="B5" s="6">
        <f>'Data Sheet'!B83</f>
        <v>-2692.11</v>
      </c>
      <c r="C5" s="6">
        <f>'Data Sheet'!C83</f>
        <v>-1212.04</v>
      </c>
      <c r="D5" s="6">
        <f>'Data Sheet'!D83</f>
        <v>-520.42999999999995</v>
      </c>
      <c r="E5" s="6">
        <f>'Data Sheet'!E83</f>
        <v>-984.02</v>
      </c>
      <c r="F5" s="6">
        <f>'Data Sheet'!F83</f>
        <v>-2303.81</v>
      </c>
      <c r="G5" s="6">
        <f>'Data Sheet'!G83</f>
        <v>-2187.5700000000002</v>
      </c>
      <c r="H5" s="6">
        <f>'Data Sheet'!H83</f>
        <v>774.46</v>
      </c>
      <c r="I5" s="6">
        <f>'Data Sheet'!I83</f>
        <v>1544.79</v>
      </c>
      <c r="J5" s="6">
        <f>'Data Sheet'!J83</f>
        <v>3480.9</v>
      </c>
      <c r="K5" s="6">
        <f>'Data Sheet'!K83</f>
        <v>-17142.05</v>
      </c>
    </row>
    <row r="6" spans="1:11" x14ac:dyDescent="0.3">
      <c r="A6" t="s">
        <v>34</v>
      </c>
      <c r="B6" s="6">
        <f>'Data Sheet'!B84</f>
        <v>-2712.95</v>
      </c>
      <c r="C6" s="6">
        <f>'Data Sheet'!C84</f>
        <v>-3538.93</v>
      </c>
      <c r="D6" s="6">
        <f>'Data Sheet'!D84</f>
        <v>-4600.1099999999997</v>
      </c>
      <c r="E6" s="6">
        <f>'Data Sheet'!E84</f>
        <v>-4663.4399999999996</v>
      </c>
      <c r="F6" s="6">
        <f>'Data Sheet'!F84</f>
        <v>-2377.1799999999998</v>
      </c>
      <c r="G6" s="6">
        <f>'Data Sheet'!G84</f>
        <v>-5654.84</v>
      </c>
      <c r="H6" s="6">
        <f>'Data Sheet'!H84</f>
        <v>-10337.86</v>
      </c>
      <c r="I6" s="6">
        <f>'Data Sheet'!I84</f>
        <v>-10408.459999999999</v>
      </c>
      <c r="J6" s="6">
        <f>'Data Sheet'!J84</f>
        <v>-16864.03</v>
      </c>
      <c r="K6" s="6">
        <f>'Data Sheet'!K84</f>
        <v>-5175.45</v>
      </c>
    </row>
    <row r="7" spans="1:11" s="2" customFormat="1" x14ac:dyDescent="0.3">
      <c r="A7" s="2" t="s">
        <v>35</v>
      </c>
      <c r="B7" s="1">
        <f>'Data Sheet'!B85</f>
        <v>-147.85</v>
      </c>
      <c r="C7" s="1">
        <f>'Data Sheet'!C85</f>
        <v>-25.77</v>
      </c>
      <c r="D7" s="1">
        <f>'Data Sheet'!D85</f>
        <v>-19.39</v>
      </c>
      <c r="E7" s="1">
        <f>'Data Sheet'!E85</f>
        <v>-37.08</v>
      </c>
      <c r="F7" s="1">
        <f>'Data Sheet'!F85</f>
        <v>916.56</v>
      </c>
      <c r="G7" s="1">
        <f>'Data Sheet'!G85</f>
        <v>-828.06</v>
      </c>
      <c r="H7" s="1">
        <f>'Data Sheet'!H85</f>
        <v>669.33</v>
      </c>
      <c r="I7" s="1">
        <f>'Data Sheet'!I85</f>
        <v>-433.14</v>
      </c>
      <c r="J7" s="1">
        <f>'Data Sheet'!J85</f>
        <v>787.02</v>
      </c>
      <c r="K7" s="1">
        <f>'Data Sheet'!K85</f>
        <v>-816.39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13" spans="1:11" x14ac:dyDescent="0.3">
      <c r="C13" s="1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13" activePane="bottomRight" state="frozen"/>
      <selection activeCell="C4" sqref="C4"/>
      <selection pane="topRight" activeCell="C4" sqref="C4"/>
      <selection pane="bottomLeft" activeCell="C4" sqref="C4"/>
      <selection pane="bottomRight" activeCell="A16" sqref="A16:K30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1928.4694710327456</v>
      </c>
    </row>
    <row r="7" spans="1:11" x14ac:dyDescent="0.3">
      <c r="A7" s="4" t="s">
        <v>31</v>
      </c>
      <c r="B7">
        <v>2</v>
      </c>
    </row>
    <row r="8" spans="1:11" x14ac:dyDescent="0.3">
      <c r="A8" s="4" t="s">
        <v>43</v>
      </c>
      <c r="B8">
        <v>198.5</v>
      </c>
    </row>
    <row r="9" spans="1:11" x14ac:dyDescent="0.3">
      <c r="A9" s="4" t="s">
        <v>79</v>
      </c>
      <c r="B9">
        <v>382801.19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25377.33</v>
      </c>
      <c r="C17">
        <v>22615.51</v>
      </c>
      <c r="D17">
        <v>20304.28</v>
      </c>
      <c r="E17">
        <v>23884.18</v>
      </c>
      <c r="F17">
        <v>26467.72</v>
      </c>
      <c r="G17">
        <v>26221.48</v>
      </c>
      <c r="H17">
        <v>27711.18</v>
      </c>
      <c r="I17">
        <v>38773.300000000003</v>
      </c>
      <c r="J17">
        <v>50351.25</v>
      </c>
      <c r="K17">
        <v>56203.09</v>
      </c>
    </row>
    <row r="18" spans="1:11" s="6" customFormat="1" x14ac:dyDescent="0.3">
      <c r="A18" s="4" t="s">
        <v>80</v>
      </c>
    </row>
    <row r="19" spans="1:11" s="6" customFormat="1" x14ac:dyDescent="0.3">
      <c r="A19" s="4" t="s">
        <v>81</v>
      </c>
    </row>
    <row r="20" spans="1:11" s="6" customFormat="1" x14ac:dyDescent="0.3">
      <c r="A20" s="4" t="s">
        <v>82</v>
      </c>
      <c r="B20">
        <v>14745.14</v>
      </c>
      <c r="C20">
        <v>14630.49</v>
      </c>
      <c r="D20">
        <v>12535.25</v>
      </c>
      <c r="E20">
        <v>15952.45</v>
      </c>
      <c r="F20">
        <v>17580.39</v>
      </c>
      <c r="G20">
        <v>14781.15</v>
      </c>
      <c r="H20">
        <v>14762.21</v>
      </c>
      <c r="I20">
        <v>25480.85</v>
      </c>
      <c r="J20">
        <v>28452.639999999999</v>
      </c>
      <c r="K20">
        <v>30273.25</v>
      </c>
    </row>
    <row r="21" spans="1:11" s="6" customFormat="1" x14ac:dyDescent="0.3">
      <c r="A21" s="4" t="s">
        <v>83</v>
      </c>
      <c r="B21">
        <v>1025.25</v>
      </c>
      <c r="C21">
        <v>1260.02</v>
      </c>
      <c r="D21">
        <v>1551.86</v>
      </c>
      <c r="E21">
        <v>1680.59</v>
      </c>
      <c r="F21">
        <v>1864.95</v>
      </c>
      <c r="G21">
        <v>1838.18</v>
      </c>
      <c r="H21">
        <v>2066.6799999999998</v>
      </c>
      <c r="I21">
        <v>1718.27</v>
      </c>
      <c r="J21">
        <v>1856.84</v>
      </c>
      <c r="K21">
        <v>2231.0500000000002</v>
      </c>
    </row>
    <row r="22" spans="1:11" s="6" customFormat="1" x14ac:dyDescent="0.3">
      <c r="A22" s="4" t="s">
        <v>84</v>
      </c>
      <c r="B22">
        <v>378.89</v>
      </c>
      <c r="C22">
        <v>361.01</v>
      </c>
      <c r="D22">
        <v>353.9</v>
      </c>
      <c r="E22">
        <v>363.47</v>
      </c>
      <c r="F22">
        <v>427.04</v>
      </c>
      <c r="G22">
        <v>431.89</v>
      </c>
      <c r="H22">
        <v>470.72</v>
      </c>
      <c r="I22">
        <v>570.46</v>
      </c>
      <c r="J22">
        <v>644.16999999999996</v>
      </c>
      <c r="K22">
        <v>786.63</v>
      </c>
    </row>
    <row r="23" spans="1:11" s="6" customFormat="1" x14ac:dyDescent="0.3">
      <c r="A23" s="4" t="s">
        <v>85</v>
      </c>
      <c r="B23">
        <v>509.04</v>
      </c>
      <c r="C23">
        <v>307.25</v>
      </c>
      <c r="D23">
        <v>225.3</v>
      </c>
      <c r="E23">
        <v>222.73</v>
      </c>
      <c r="F23">
        <v>454.63</v>
      </c>
      <c r="G23">
        <v>281.14</v>
      </c>
      <c r="H23">
        <v>233.67</v>
      </c>
      <c r="I23">
        <v>443.65</v>
      </c>
      <c r="J23">
        <v>454.82</v>
      </c>
      <c r="K23">
        <v>543.57000000000005</v>
      </c>
    </row>
    <row r="24" spans="1:11" s="6" customFormat="1" x14ac:dyDescent="0.3">
      <c r="A24" s="4" t="s">
        <v>86</v>
      </c>
      <c r="B24">
        <v>-83.12</v>
      </c>
      <c r="C24">
        <v>76.7</v>
      </c>
      <c r="D24">
        <v>202.04</v>
      </c>
      <c r="E24">
        <v>681.53</v>
      </c>
      <c r="F24">
        <v>407.07</v>
      </c>
      <c r="G24">
        <v>200.96</v>
      </c>
      <c r="H24">
        <v>296.49</v>
      </c>
      <c r="I24">
        <v>463.73</v>
      </c>
      <c r="J24">
        <v>715.16</v>
      </c>
      <c r="K24">
        <v>950.26</v>
      </c>
    </row>
    <row r="25" spans="1:11" s="6" customFormat="1" x14ac:dyDescent="0.3">
      <c r="A25" s="6" t="s">
        <v>9</v>
      </c>
      <c r="B25">
        <v>-201.37</v>
      </c>
      <c r="C25">
        <v>-3666.12</v>
      </c>
      <c r="D25">
        <v>754.1</v>
      </c>
      <c r="E25">
        <v>2447.87</v>
      </c>
      <c r="F25">
        <v>322.76</v>
      </c>
      <c r="G25">
        <v>1908.56</v>
      </c>
      <c r="H25">
        <v>3908.04</v>
      </c>
      <c r="I25">
        <v>4215.54</v>
      </c>
      <c r="J25">
        <v>9883.31</v>
      </c>
      <c r="K25">
        <v>2589.85</v>
      </c>
    </row>
    <row r="26" spans="1:11" s="6" customFormat="1" x14ac:dyDescent="0.3">
      <c r="A26" s="6" t="s">
        <v>10</v>
      </c>
      <c r="B26">
        <v>2665.82</v>
      </c>
      <c r="C26">
        <v>2672.36</v>
      </c>
      <c r="D26">
        <v>2698.72</v>
      </c>
      <c r="E26">
        <v>2750.62</v>
      </c>
      <c r="F26">
        <v>3006.5</v>
      </c>
      <c r="G26">
        <v>3201.65</v>
      </c>
      <c r="H26">
        <v>3117.54</v>
      </c>
      <c r="I26">
        <v>3303.68</v>
      </c>
      <c r="J26">
        <v>3931.33</v>
      </c>
      <c r="K26">
        <v>4308.88</v>
      </c>
    </row>
    <row r="27" spans="1:11" s="6" customFormat="1" x14ac:dyDescent="0.3">
      <c r="A27" s="6" t="s">
        <v>11</v>
      </c>
      <c r="B27">
        <v>5560.22</v>
      </c>
      <c r="C27">
        <v>5901.73</v>
      </c>
      <c r="D27">
        <v>5570.23</v>
      </c>
      <c r="E27">
        <v>5656.52</v>
      </c>
      <c r="F27">
        <v>5314.82</v>
      </c>
      <c r="G27">
        <v>5106.33</v>
      </c>
      <c r="H27">
        <v>4094.78</v>
      </c>
      <c r="I27">
        <v>3333.5</v>
      </c>
      <c r="J27">
        <v>3388.09</v>
      </c>
      <c r="K27">
        <v>3339.79</v>
      </c>
    </row>
    <row r="28" spans="1:11" s="6" customFormat="1" x14ac:dyDescent="0.3">
      <c r="A28" s="6" t="s">
        <v>12</v>
      </c>
      <c r="B28">
        <v>374.72</v>
      </c>
      <c r="C28">
        <v>-6260.17</v>
      </c>
      <c r="D28">
        <v>-2078.92</v>
      </c>
      <c r="E28">
        <v>-975.86</v>
      </c>
      <c r="F28">
        <v>-2264.92</v>
      </c>
      <c r="G28">
        <v>2288.7399999999998</v>
      </c>
      <c r="H28">
        <v>6577.13</v>
      </c>
      <c r="I28">
        <v>7674.7</v>
      </c>
      <c r="J28">
        <v>20791.509999999998</v>
      </c>
      <c r="K28">
        <v>16359.51</v>
      </c>
    </row>
    <row r="29" spans="1:11" s="6" customFormat="1" x14ac:dyDescent="0.3">
      <c r="A29" s="6" t="s">
        <v>13</v>
      </c>
      <c r="B29">
        <v>-176.08</v>
      </c>
      <c r="C29">
        <v>-86.07</v>
      </c>
      <c r="D29">
        <v>-5.15</v>
      </c>
      <c r="E29">
        <v>8.5399999999999991</v>
      </c>
      <c r="F29">
        <v>9.85</v>
      </c>
      <c r="G29">
        <v>1018.76</v>
      </c>
      <c r="H29">
        <v>1665.55</v>
      </c>
      <c r="I29">
        <v>-3051.94</v>
      </c>
      <c r="J29">
        <v>-37.28</v>
      </c>
      <c r="K29">
        <v>3609.9</v>
      </c>
    </row>
    <row r="30" spans="1:11" s="6" customFormat="1" x14ac:dyDescent="0.3">
      <c r="A30" s="6" t="s">
        <v>14</v>
      </c>
      <c r="B30">
        <v>550.79999999999995</v>
      </c>
      <c r="C30">
        <v>-6174.1</v>
      </c>
      <c r="D30">
        <v>-2102.9499999999998</v>
      </c>
      <c r="E30">
        <v>-984.4</v>
      </c>
      <c r="F30">
        <v>-2274.77</v>
      </c>
      <c r="G30">
        <v>1269.98</v>
      </c>
      <c r="H30">
        <v>4911.58</v>
      </c>
      <c r="I30">
        <v>10726.64</v>
      </c>
      <c r="J30">
        <v>20828.79</v>
      </c>
      <c r="K30">
        <v>12938.77</v>
      </c>
    </row>
    <row r="31" spans="1:11" s="6" customFormat="1" x14ac:dyDescent="0.3">
      <c r="A31" s="6" t="s">
        <v>70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12990.58</v>
      </c>
      <c r="C42">
        <v>12991.44</v>
      </c>
      <c r="D42">
        <v>13363.69</v>
      </c>
      <c r="E42">
        <v>14955.63</v>
      </c>
      <c r="F42">
        <v>13338.88</v>
      </c>
      <c r="G42">
        <v>13671.18</v>
      </c>
      <c r="H42">
        <v>14237.4</v>
      </c>
      <c r="I42">
        <v>14109.15</v>
      </c>
      <c r="J42">
        <v>13456.84</v>
      </c>
      <c r="K42">
        <v>12451.44</v>
      </c>
    </row>
    <row r="43" spans="1:11" s="6" customFormat="1" x14ac:dyDescent="0.3">
      <c r="A43" s="6" t="s">
        <v>7</v>
      </c>
      <c r="B43">
        <v>7819.19</v>
      </c>
      <c r="C43">
        <v>8346.1</v>
      </c>
      <c r="D43">
        <v>8513.9500000000007</v>
      </c>
      <c r="E43">
        <v>8761.32</v>
      </c>
      <c r="F43">
        <v>8063.3</v>
      </c>
      <c r="G43">
        <v>8648.26</v>
      </c>
      <c r="H43">
        <v>9424.77</v>
      </c>
      <c r="I43">
        <v>8423.8700000000008</v>
      </c>
      <c r="J43">
        <v>8306.5499999999993</v>
      </c>
      <c r="K43">
        <v>8213.3700000000008</v>
      </c>
    </row>
    <row r="44" spans="1:11" s="6" customFormat="1" x14ac:dyDescent="0.3">
      <c r="A44" s="6" t="s">
        <v>9</v>
      </c>
      <c r="B44">
        <v>1945.1</v>
      </c>
      <c r="C44">
        <v>363.83</v>
      </c>
      <c r="D44">
        <v>517.83000000000004</v>
      </c>
      <c r="E44">
        <v>518.32000000000005</v>
      </c>
      <c r="F44">
        <v>723.96</v>
      </c>
      <c r="G44">
        <v>1162.26</v>
      </c>
      <c r="H44">
        <v>298.2</v>
      </c>
      <c r="I44">
        <v>464.55</v>
      </c>
      <c r="J44">
        <v>850.95</v>
      </c>
      <c r="K44">
        <v>543.26</v>
      </c>
    </row>
    <row r="45" spans="1:11" s="6" customFormat="1" x14ac:dyDescent="0.3">
      <c r="A45" s="6" t="s">
        <v>10</v>
      </c>
      <c r="B45">
        <v>1004.48</v>
      </c>
      <c r="C45">
        <v>1002.23</v>
      </c>
      <c r="D45">
        <v>990.03</v>
      </c>
      <c r="E45">
        <v>995.63</v>
      </c>
      <c r="F45">
        <v>1058.5899999999999</v>
      </c>
      <c r="G45">
        <v>1170.01</v>
      </c>
      <c r="H45">
        <v>1084.6500000000001</v>
      </c>
      <c r="I45">
        <v>1088.5899999999999</v>
      </c>
      <c r="J45">
        <v>1193.4100000000001</v>
      </c>
      <c r="K45">
        <v>1135.3</v>
      </c>
    </row>
    <row r="46" spans="1:11" s="6" customFormat="1" x14ac:dyDescent="0.3">
      <c r="A46" s="6" t="s">
        <v>11</v>
      </c>
      <c r="B46">
        <v>888.44</v>
      </c>
      <c r="C46">
        <v>796.56</v>
      </c>
      <c r="D46">
        <v>819.6</v>
      </c>
      <c r="E46">
        <v>811.49</v>
      </c>
      <c r="F46">
        <v>806.87</v>
      </c>
      <c r="G46">
        <v>956.53</v>
      </c>
      <c r="H46">
        <v>764.9</v>
      </c>
      <c r="I46">
        <v>856.93</v>
      </c>
      <c r="J46">
        <v>841.63</v>
      </c>
      <c r="K46">
        <v>701.01</v>
      </c>
    </row>
    <row r="47" spans="1:11" s="6" customFormat="1" x14ac:dyDescent="0.3">
      <c r="A47" s="6" t="s">
        <v>12</v>
      </c>
      <c r="B47">
        <v>5223.57</v>
      </c>
      <c r="C47">
        <v>3210.38</v>
      </c>
      <c r="D47">
        <v>3557.94</v>
      </c>
      <c r="E47">
        <v>4905.51</v>
      </c>
      <c r="F47">
        <v>4134.08</v>
      </c>
      <c r="G47">
        <v>4058.64</v>
      </c>
      <c r="H47">
        <v>3261.28</v>
      </c>
      <c r="I47">
        <v>4204.3100000000004</v>
      </c>
      <c r="J47">
        <v>3966.2</v>
      </c>
      <c r="K47">
        <v>2945.02</v>
      </c>
    </row>
    <row r="48" spans="1:11" s="6" customFormat="1" x14ac:dyDescent="0.3">
      <c r="A48" s="6" t="s">
        <v>13</v>
      </c>
      <c r="B48">
        <v>-1370.6</v>
      </c>
      <c r="C48">
        <v>472.42</v>
      </c>
      <c r="D48">
        <v>820.7</v>
      </c>
      <c r="E48">
        <v>992.72</v>
      </c>
      <c r="F48">
        <v>836.56</v>
      </c>
      <c r="G48">
        <v>1118.57</v>
      </c>
      <c r="H48">
        <v>662.05</v>
      </c>
      <c r="I48">
        <v>899.18</v>
      </c>
      <c r="J48">
        <v>1059.74</v>
      </c>
      <c r="K48">
        <v>456.93</v>
      </c>
    </row>
    <row r="49" spans="1:11" s="6" customFormat="1" x14ac:dyDescent="0.3">
      <c r="A49" s="6" t="s">
        <v>14</v>
      </c>
      <c r="B49">
        <v>6594.17</v>
      </c>
      <c r="C49">
        <v>2737.96</v>
      </c>
      <c r="D49">
        <v>2737.24</v>
      </c>
      <c r="E49">
        <v>3912.79</v>
      </c>
      <c r="F49">
        <v>3331.8</v>
      </c>
      <c r="G49">
        <v>3057.21</v>
      </c>
      <c r="H49">
        <v>2636.97</v>
      </c>
      <c r="I49">
        <v>3384.86</v>
      </c>
      <c r="J49">
        <v>2952.78</v>
      </c>
      <c r="K49">
        <v>2479.58</v>
      </c>
    </row>
    <row r="50" spans="1:11" x14ac:dyDescent="0.3">
      <c r="A50" s="6" t="s">
        <v>8</v>
      </c>
      <c r="B50">
        <v>5171.3900000000003</v>
      </c>
      <c r="C50">
        <v>4645.34</v>
      </c>
      <c r="D50">
        <v>4849.74</v>
      </c>
      <c r="E50">
        <v>6194.31</v>
      </c>
      <c r="F50">
        <v>5275.58</v>
      </c>
      <c r="G50">
        <v>5022.92</v>
      </c>
      <c r="H50">
        <v>4812.63</v>
      </c>
      <c r="I50">
        <v>5685.28</v>
      </c>
      <c r="J50">
        <v>5150.29</v>
      </c>
      <c r="K50">
        <v>4238.07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3333.94</v>
      </c>
      <c r="C57">
        <v>3856.94</v>
      </c>
      <c r="D57">
        <v>3856.94</v>
      </c>
      <c r="E57">
        <v>3856.94</v>
      </c>
      <c r="F57">
        <v>3856.94</v>
      </c>
      <c r="G57">
        <v>3856.94</v>
      </c>
      <c r="H57">
        <v>3856.94</v>
      </c>
      <c r="I57">
        <v>3856.94</v>
      </c>
      <c r="J57">
        <v>3856.94</v>
      </c>
      <c r="K57">
        <v>3856.94</v>
      </c>
    </row>
    <row r="58" spans="1:11" x14ac:dyDescent="0.3">
      <c r="A58" s="6" t="s">
        <v>25</v>
      </c>
      <c r="B58">
        <v>4133.92</v>
      </c>
      <c r="C58">
        <v>-857.38</v>
      </c>
      <c r="D58">
        <v>-2967.61</v>
      </c>
      <c r="E58">
        <v>3855.35</v>
      </c>
      <c r="F58">
        <v>2623.5</v>
      </c>
      <c r="G58">
        <v>9255.65</v>
      </c>
      <c r="H58">
        <v>14599.95</v>
      </c>
      <c r="I58">
        <v>26018.720000000001</v>
      </c>
      <c r="J58">
        <v>39041.54</v>
      </c>
      <c r="K58">
        <v>52490.15</v>
      </c>
    </row>
    <row r="59" spans="1:11" x14ac:dyDescent="0.3">
      <c r="A59" s="6" t="s">
        <v>71</v>
      </c>
      <c r="B59">
        <v>52729.32</v>
      </c>
      <c r="C59">
        <v>52484.37</v>
      </c>
      <c r="D59">
        <v>52834.81</v>
      </c>
      <c r="E59">
        <v>46979.7</v>
      </c>
      <c r="F59">
        <v>55198.76</v>
      </c>
      <c r="G59">
        <v>52411.27</v>
      </c>
      <c r="H59">
        <v>49144.98</v>
      </c>
      <c r="I59">
        <v>42349.53</v>
      </c>
      <c r="J59">
        <v>34862.11</v>
      </c>
      <c r="K59">
        <v>39494.870000000003</v>
      </c>
    </row>
    <row r="60" spans="1:11" x14ac:dyDescent="0.3">
      <c r="A60" s="6" t="s">
        <v>72</v>
      </c>
      <c r="B60">
        <v>15597.03</v>
      </c>
      <c r="C60">
        <v>16027.12</v>
      </c>
      <c r="D60">
        <v>15803.93</v>
      </c>
      <c r="E60">
        <v>13292.61</v>
      </c>
      <c r="F60">
        <v>13345.8</v>
      </c>
      <c r="G60">
        <v>13011.61</v>
      </c>
      <c r="H60">
        <v>14379.15</v>
      </c>
      <c r="I60">
        <v>13596.08</v>
      </c>
      <c r="J60">
        <v>14248.38</v>
      </c>
      <c r="K60">
        <v>17075.61</v>
      </c>
    </row>
    <row r="61" spans="1:11" s="1" customFormat="1" x14ac:dyDescent="0.3">
      <c r="A61" s="1" t="s">
        <v>26</v>
      </c>
      <c r="B61">
        <v>75794.210000000006</v>
      </c>
      <c r="C61">
        <v>71511.05</v>
      </c>
      <c r="D61">
        <v>69528.070000000007</v>
      </c>
      <c r="E61">
        <v>67984.600000000006</v>
      </c>
      <c r="F61">
        <v>75025</v>
      </c>
      <c r="G61">
        <v>78535.47</v>
      </c>
      <c r="H61">
        <v>81981.02</v>
      </c>
      <c r="I61">
        <v>85821.27</v>
      </c>
      <c r="J61">
        <v>92008.97</v>
      </c>
      <c r="K61">
        <v>112917.57</v>
      </c>
    </row>
    <row r="62" spans="1:11" x14ac:dyDescent="0.3">
      <c r="A62" s="6" t="s">
        <v>27</v>
      </c>
      <c r="B62">
        <v>56941.22</v>
      </c>
      <c r="C62">
        <v>54390.93</v>
      </c>
      <c r="D62">
        <v>52137.14</v>
      </c>
      <c r="E62">
        <v>50418.76</v>
      </c>
      <c r="F62">
        <v>55845.81</v>
      </c>
      <c r="G62">
        <v>52851.3</v>
      </c>
      <c r="H62">
        <v>53274.21</v>
      </c>
      <c r="I62">
        <v>51451.38</v>
      </c>
      <c r="J62">
        <v>63015.85</v>
      </c>
      <c r="K62">
        <v>69297.45</v>
      </c>
    </row>
    <row r="63" spans="1:11" x14ac:dyDescent="0.3">
      <c r="A63" s="6" t="s">
        <v>28</v>
      </c>
      <c r="B63">
        <v>87.92</v>
      </c>
      <c r="C63">
        <v>124.61</v>
      </c>
      <c r="D63">
        <v>119.86</v>
      </c>
      <c r="E63">
        <v>350.08</v>
      </c>
      <c r="F63">
        <v>2346.77</v>
      </c>
      <c r="G63">
        <v>6439.42</v>
      </c>
      <c r="H63">
        <v>10269.74</v>
      </c>
      <c r="I63">
        <v>12879.54</v>
      </c>
      <c r="J63">
        <v>925.12</v>
      </c>
      <c r="K63">
        <v>12104.42</v>
      </c>
    </row>
    <row r="64" spans="1:11" x14ac:dyDescent="0.3">
      <c r="A64" s="6" t="s">
        <v>29</v>
      </c>
      <c r="B64">
        <v>0.06</v>
      </c>
      <c r="C64">
        <v>164.33</v>
      </c>
      <c r="D64">
        <v>0.01</v>
      </c>
      <c r="E64">
        <v>2.72</v>
      </c>
      <c r="F64">
        <v>2.8</v>
      </c>
      <c r="G64">
        <v>20.100000000000001</v>
      </c>
      <c r="H64">
        <v>183.25</v>
      </c>
      <c r="I64">
        <v>654.04999999999995</v>
      </c>
      <c r="J64">
        <v>373.51</v>
      </c>
      <c r="K64">
        <v>1097.21</v>
      </c>
    </row>
    <row r="65" spans="1:11" x14ac:dyDescent="0.3">
      <c r="A65" s="6" t="s">
        <v>73</v>
      </c>
      <c r="B65">
        <v>18765.009999999998</v>
      </c>
      <c r="C65">
        <v>16831.18</v>
      </c>
      <c r="D65">
        <v>17271.060000000001</v>
      </c>
      <c r="E65">
        <v>17213.04</v>
      </c>
      <c r="F65">
        <v>16829.62</v>
      </c>
      <c r="G65">
        <v>19224.650000000001</v>
      </c>
      <c r="H65">
        <v>18253.82</v>
      </c>
      <c r="I65">
        <v>20836.3</v>
      </c>
      <c r="J65">
        <v>27694.49</v>
      </c>
      <c r="K65">
        <v>30418.49</v>
      </c>
    </row>
    <row r="66" spans="1:11" s="1" customFormat="1" x14ac:dyDescent="0.3">
      <c r="A66" s="1" t="s">
        <v>26</v>
      </c>
      <c r="B66">
        <v>75794.210000000006</v>
      </c>
      <c r="C66">
        <v>71511.05</v>
      </c>
      <c r="D66">
        <v>69528.070000000007</v>
      </c>
      <c r="E66">
        <v>67984.600000000006</v>
      </c>
      <c r="F66">
        <v>75025</v>
      </c>
      <c r="G66">
        <v>78535.47</v>
      </c>
      <c r="H66">
        <v>81981.02</v>
      </c>
      <c r="I66">
        <v>85821.27</v>
      </c>
      <c r="J66">
        <v>92008.97</v>
      </c>
      <c r="K66">
        <v>112917.57</v>
      </c>
    </row>
    <row r="67" spans="1:11" s="6" customFormat="1" x14ac:dyDescent="0.3">
      <c r="A67" s="6" t="s">
        <v>78</v>
      </c>
      <c r="B67">
        <v>12476.6</v>
      </c>
      <c r="C67">
        <v>7704.34</v>
      </c>
      <c r="D67">
        <v>6069.81</v>
      </c>
      <c r="E67">
        <v>8550.99</v>
      </c>
      <c r="F67">
        <v>8366.4699999999993</v>
      </c>
      <c r="G67">
        <v>11437.92</v>
      </c>
      <c r="H67">
        <v>9560.92</v>
      </c>
      <c r="I67">
        <v>11529.36</v>
      </c>
      <c r="J67">
        <v>11677.48</v>
      </c>
      <c r="K67">
        <v>13022.07</v>
      </c>
    </row>
    <row r="68" spans="1:11" x14ac:dyDescent="0.3">
      <c r="A68" s="6" t="s">
        <v>45</v>
      </c>
      <c r="B68">
        <v>1619.2</v>
      </c>
      <c r="C68">
        <v>1760.41</v>
      </c>
      <c r="D68">
        <v>873.98</v>
      </c>
      <c r="E68">
        <v>1224.08</v>
      </c>
      <c r="F68">
        <v>2522.77</v>
      </c>
      <c r="G68">
        <v>2025.11</v>
      </c>
      <c r="H68">
        <v>2258.27</v>
      </c>
      <c r="I68">
        <v>3075.2</v>
      </c>
      <c r="J68">
        <v>4142.1000000000004</v>
      </c>
      <c r="K68">
        <v>3317.28</v>
      </c>
    </row>
    <row r="69" spans="1:11" x14ac:dyDescent="0.3">
      <c r="A69" s="4" t="s">
        <v>87</v>
      </c>
      <c r="B69">
        <v>868.7</v>
      </c>
      <c r="C69">
        <v>604.16999999999996</v>
      </c>
      <c r="D69">
        <v>856.61</v>
      </c>
      <c r="E69">
        <v>915.88</v>
      </c>
      <c r="F69">
        <v>1979.31</v>
      </c>
      <c r="G69">
        <v>1607.32</v>
      </c>
      <c r="H69">
        <v>2364.6799999999998</v>
      </c>
      <c r="I69">
        <v>1873.65</v>
      </c>
      <c r="J69">
        <v>7211.76</v>
      </c>
      <c r="K69">
        <v>6119.88</v>
      </c>
    </row>
    <row r="70" spans="1:11" x14ac:dyDescent="0.3">
      <c r="A70" s="4" t="s">
        <v>74</v>
      </c>
      <c r="B70">
        <v>3333938941</v>
      </c>
      <c r="C70">
        <v>3856938941</v>
      </c>
      <c r="D70">
        <v>3856938941</v>
      </c>
      <c r="E70">
        <v>3856938941</v>
      </c>
      <c r="F70">
        <v>3856938941</v>
      </c>
      <c r="G70">
        <v>3856938941</v>
      </c>
      <c r="H70">
        <v>3856938941</v>
      </c>
      <c r="I70">
        <v>3856938941</v>
      </c>
      <c r="J70">
        <v>3856938941</v>
      </c>
      <c r="K70">
        <v>3856938941</v>
      </c>
    </row>
    <row r="71" spans="1:11" x14ac:dyDescent="0.3">
      <c r="A71" s="4" t="s">
        <v>75</v>
      </c>
    </row>
    <row r="72" spans="1:11" x14ac:dyDescent="0.3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5257.21</v>
      </c>
      <c r="C82">
        <v>4725.2</v>
      </c>
      <c r="D82">
        <v>5101.1499999999996</v>
      </c>
      <c r="E82">
        <v>5610.38</v>
      </c>
      <c r="F82">
        <v>5597.55</v>
      </c>
      <c r="G82">
        <v>7014.35</v>
      </c>
      <c r="H82">
        <v>10232.73</v>
      </c>
      <c r="I82">
        <v>8430.5300000000007</v>
      </c>
      <c r="J82">
        <v>14170.15</v>
      </c>
      <c r="K82">
        <v>21501.11</v>
      </c>
    </row>
    <row r="83" spans="1:11" s="6" customFormat="1" x14ac:dyDescent="0.3">
      <c r="A83" s="6" t="s">
        <v>33</v>
      </c>
      <c r="B83">
        <v>-2692.11</v>
      </c>
      <c r="C83">
        <v>-1212.04</v>
      </c>
      <c r="D83">
        <v>-520.42999999999995</v>
      </c>
      <c r="E83">
        <v>-984.02</v>
      </c>
      <c r="F83">
        <v>-2303.81</v>
      </c>
      <c r="G83">
        <v>-2187.5700000000002</v>
      </c>
      <c r="H83">
        <v>774.46</v>
      </c>
      <c r="I83">
        <v>1544.79</v>
      </c>
      <c r="J83">
        <v>3480.9</v>
      </c>
      <c r="K83">
        <v>-17142.05</v>
      </c>
    </row>
    <row r="84" spans="1:11" s="6" customFormat="1" x14ac:dyDescent="0.3">
      <c r="A84" s="6" t="s">
        <v>34</v>
      </c>
      <c r="B84">
        <v>-2712.95</v>
      </c>
      <c r="C84">
        <v>-3538.93</v>
      </c>
      <c r="D84">
        <v>-4600.1099999999997</v>
      </c>
      <c r="E84">
        <v>-4663.4399999999996</v>
      </c>
      <c r="F84">
        <v>-2377.1799999999998</v>
      </c>
      <c r="G84">
        <v>-5654.84</v>
      </c>
      <c r="H84">
        <v>-10337.86</v>
      </c>
      <c r="I84">
        <v>-10408.459999999999</v>
      </c>
      <c r="J84">
        <v>-16864.03</v>
      </c>
      <c r="K84">
        <v>-5175.45</v>
      </c>
    </row>
    <row r="85" spans="1:11" s="1" customFormat="1" x14ac:dyDescent="0.3">
      <c r="A85" s="6" t="s">
        <v>35</v>
      </c>
      <c r="B85">
        <v>-147.85</v>
      </c>
      <c r="C85">
        <v>-25.77</v>
      </c>
      <c r="D85">
        <v>-19.39</v>
      </c>
      <c r="E85">
        <v>-37.08</v>
      </c>
      <c r="F85">
        <v>916.56</v>
      </c>
      <c r="G85">
        <v>-828.06</v>
      </c>
      <c r="H85">
        <v>669.33</v>
      </c>
      <c r="I85">
        <v>-433.14</v>
      </c>
      <c r="J85">
        <v>787.02</v>
      </c>
      <c r="K85">
        <v>-816.39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6.89</v>
      </c>
      <c r="C90">
        <v>7.98</v>
      </c>
      <c r="D90">
        <v>4.74</v>
      </c>
      <c r="E90">
        <v>9.64</v>
      </c>
      <c r="F90">
        <v>5.55</v>
      </c>
      <c r="G90">
        <v>17.010000000000002</v>
      </c>
      <c r="H90">
        <v>37.020000000000003</v>
      </c>
      <c r="I90">
        <v>38.32</v>
      </c>
      <c r="J90">
        <v>106.76</v>
      </c>
      <c r="K90">
        <v>101.86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1666.97</v>
      </c>
      <c r="C93" s="24">
        <v>1928.47</v>
      </c>
      <c r="D93" s="24">
        <v>1928.47</v>
      </c>
      <c r="E93" s="24">
        <v>1928.47</v>
      </c>
      <c r="F93" s="24">
        <v>1928.47</v>
      </c>
      <c r="G93" s="24">
        <v>1928.47</v>
      </c>
      <c r="H93" s="24">
        <v>1928.47</v>
      </c>
      <c r="I93" s="24">
        <v>1928.47</v>
      </c>
      <c r="J93" s="24">
        <v>1928.47</v>
      </c>
      <c r="K93" s="24">
        <v>1928.47</v>
      </c>
    </row>
  </sheetData>
  <mergeCells count="2">
    <mergeCell ref="E1:K1"/>
    <mergeCell ref="E2:K2"/>
  </mergeCells>
  <conditionalFormatting sqref="E1:K1">
    <cfRule type="cellIs" dxfId="12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5AEF-1F5B-40DC-ACA3-DF9AEC1DDD3A}">
  <dimension ref="A1:K15"/>
  <sheetViews>
    <sheetView workbookViewId="0">
      <selection activeCell="B3" sqref="B3"/>
    </sheetView>
  </sheetViews>
  <sheetFormatPr defaultRowHeight="14.4" x14ac:dyDescent="0.3"/>
  <cols>
    <col min="1" max="1" width="18.21875" bestFit="1" customWidth="1"/>
  </cols>
  <sheetData>
    <row r="1" spans="1:11" x14ac:dyDescent="0.3">
      <c r="A1" s="17" t="s">
        <v>38</v>
      </c>
      <c r="B1" s="12">
        <v>42460</v>
      </c>
      <c r="C1" s="12">
        <v>42825</v>
      </c>
      <c r="D1" s="12">
        <v>43190</v>
      </c>
      <c r="E1" s="12">
        <v>43555</v>
      </c>
      <c r="F1" s="12">
        <v>43921</v>
      </c>
      <c r="G1" s="12">
        <v>44286</v>
      </c>
      <c r="H1" s="12">
        <v>44651</v>
      </c>
      <c r="I1" s="12">
        <v>45016</v>
      </c>
      <c r="J1" s="12">
        <v>45382</v>
      </c>
      <c r="K1" s="12">
        <v>45747</v>
      </c>
    </row>
    <row r="2" spans="1:11" x14ac:dyDescent="0.3">
      <c r="A2" s="6" t="s">
        <v>6</v>
      </c>
      <c r="B2">
        <v>25377.33</v>
      </c>
      <c r="C2">
        <v>22615.51</v>
      </c>
      <c r="D2">
        <v>20304.28</v>
      </c>
      <c r="E2">
        <v>23884.18</v>
      </c>
      <c r="F2">
        <v>26467.72</v>
      </c>
      <c r="G2">
        <v>26221.48</v>
      </c>
      <c r="H2">
        <v>27711.18</v>
      </c>
      <c r="I2">
        <v>38773.300000000003</v>
      </c>
      <c r="J2">
        <v>50351.25</v>
      </c>
      <c r="K2">
        <v>56203.09</v>
      </c>
    </row>
    <row r="3" spans="1:11" x14ac:dyDescent="0.3">
      <c r="A3" s="4" t="s">
        <v>80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4" t="s">
        <v>81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3">
      <c r="A5" s="4" t="s">
        <v>82</v>
      </c>
      <c r="B5">
        <v>14745.14</v>
      </c>
      <c r="C5">
        <v>14630.49</v>
      </c>
      <c r="D5">
        <v>12535.25</v>
      </c>
      <c r="E5">
        <v>15952.45</v>
      </c>
      <c r="F5">
        <v>17580.39</v>
      </c>
      <c r="G5">
        <v>14781.15</v>
      </c>
      <c r="H5">
        <v>14762.21</v>
      </c>
      <c r="I5">
        <v>25480.85</v>
      </c>
      <c r="J5">
        <v>28452.639999999999</v>
      </c>
      <c r="K5">
        <v>30273.25</v>
      </c>
    </row>
    <row r="6" spans="1:11" x14ac:dyDescent="0.3">
      <c r="A6" s="4" t="s">
        <v>83</v>
      </c>
      <c r="B6">
        <v>1025.25</v>
      </c>
      <c r="C6">
        <v>1260.02</v>
      </c>
      <c r="D6">
        <v>1551.86</v>
      </c>
      <c r="E6">
        <v>1680.59</v>
      </c>
      <c r="F6">
        <v>1864.95</v>
      </c>
      <c r="G6">
        <v>1838.18</v>
      </c>
      <c r="H6">
        <v>2066.6799999999998</v>
      </c>
      <c r="I6">
        <v>1718.27</v>
      </c>
      <c r="J6">
        <v>1856.84</v>
      </c>
      <c r="K6">
        <v>2231.0500000000002</v>
      </c>
    </row>
    <row r="7" spans="1:11" x14ac:dyDescent="0.3">
      <c r="A7" s="4" t="s">
        <v>84</v>
      </c>
      <c r="B7">
        <v>378.89</v>
      </c>
      <c r="C7">
        <v>361.01</v>
      </c>
      <c r="D7">
        <v>353.9</v>
      </c>
      <c r="E7">
        <v>363.47</v>
      </c>
      <c r="F7">
        <v>427.04</v>
      </c>
      <c r="G7">
        <v>431.89</v>
      </c>
      <c r="H7">
        <v>470.72</v>
      </c>
      <c r="I7">
        <v>570.46</v>
      </c>
      <c r="J7">
        <v>644.16999999999996</v>
      </c>
      <c r="K7">
        <v>786.63</v>
      </c>
    </row>
    <row r="8" spans="1:11" x14ac:dyDescent="0.3">
      <c r="A8" s="4" t="s">
        <v>85</v>
      </c>
      <c r="B8">
        <v>509.04</v>
      </c>
      <c r="C8">
        <v>307.25</v>
      </c>
      <c r="D8">
        <v>225.3</v>
      </c>
      <c r="E8">
        <v>222.73</v>
      </c>
      <c r="F8">
        <v>454.63</v>
      </c>
      <c r="G8">
        <v>281.14</v>
      </c>
      <c r="H8">
        <v>233.67</v>
      </c>
      <c r="I8">
        <v>443.65</v>
      </c>
      <c r="J8">
        <v>454.82</v>
      </c>
      <c r="K8">
        <v>543.57000000000005</v>
      </c>
    </row>
    <row r="9" spans="1:11" x14ac:dyDescent="0.3">
      <c r="A9" s="4" t="s">
        <v>86</v>
      </c>
      <c r="B9">
        <v>-83.12</v>
      </c>
      <c r="C9">
        <v>76.7</v>
      </c>
      <c r="D9">
        <v>202.04</v>
      </c>
      <c r="E9">
        <v>681.53</v>
      </c>
      <c r="F9">
        <v>407.07</v>
      </c>
      <c r="G9">
        <v>200.96</v>
      </c>
      <c r="H9">
        <v>296.49</v>
      </c>
      <c r="I9">
        <v>463.73</v>
      </c>
      <c r="J9">
        <v>715.16</v>
      </c>
      <c r="K9">
        <v>950.26</v>
      </c>
    </row>
    <row r="10" spans="1:11" x14ac:dyDescent="0.3">
      <c r="A10" s="6" t="s">
        <v>9</v>
      </c>
      <c r="B10">
        <v>-201.37</v>
      </c>
      <c r="C10">
        <v>-3666.12</v>
      </c>
      <c r="D10">
        <v>754.1</v>
      </c>
      <c r="E10">
        <v>2447.87</v>
      </c>
      <c r="F10">
        <v>322.76</v>
      </c>
      <c r="G10">
        <v>1908.56</v>
      </c>
      <c r="H10">
        <v>3908.04</v>
      </c>
      <c r="I10">
        <v>4215.54</v>
      </c>
      <c r="J10">
        <v>9883.31</v>
      </c>
      <c r="K10">
        <v>2589.85</v>
      </c>
    </row>
    <row r="11" spans="1:11" x14ac:dyDescent="0.3">
      <c r="A11" s="6" t="s">
        <v>10</v>
      </c>
      <c r="B11">
        <v>2665.82</v>
      </c>
      <c r="C11">
        <v>2672.36</v>
      </c>
      <c r="D11">
        <v>2698.72</v>
      </c>
      <c r="E11">
        <v>2750.62</v>
      </c>
      <c r="F11">
        <v>3006.5</v>
      </c>
      <c r="G11">
        <v>3201.65</v>
      </c>
      <c r="H11">
        <v>3117.54</v>
      </c>
      <c r="I11">
        <v>3303.68</v>
      </c>
      <c r="J11">
        <v>3931.33</v>
      </c>
      <c r="K11">
        <v>4308.88</v>
      </c>
    </row>
    <row r="12" spans="1:11" x14ac:dyDescent="0.3">
      <c r="A12" s="6" t="s">
        <v>11</v>
      </c>
      <c r="B12">
        <v>5560.22</v>
      </c>
      <c r="C12">
        <v>5901.73</v>
      </c>
      <c r="D12">
        <v>5570.23</v>
      </c>
      <c r="E12">
        <v>5656.52</v>
      </c>
      <c r="F12">
        <v>5314.82</v>
      </c>
      <c r="G12">
        <v>5106.33</v>
      </c>
      <c r="H12">
        <v>4094.78</v>
      </c>
      <c r="I12">
        <v>3333.5</v>
      </c>
      <c r="J12">
        <v>3388.09</v>
      </c>
      <c r="K12">
        <v>3339.79</v>
      </c>
    </row>
    <row r="13" spans="1:11" x14ac:dyDescent="0.3">
      <c r="A13" s="6" t="s">
        <v>12</v>
      </c>
      <c r="B13">
        <v>374.72</v>
      </c>
      <c r="C13">
        <v>-6260.17</v>
      </c>
      <c r="D13">
        <v>-2078.92</v>
      </c>
      <c r="E13">
        <v>-975.86</v>
      </c>
      <c r="F13">
        <v>-2264.92</v>
      </c>
      <c r="G13">
        <v>2288.7399999999998</v>
      </c>
      <c r="H13">
        <v>6577.13</v>
      </c>
      <c r="I13">
        <v>7674.7</v>
      </c>
      <c r="J13">
        <v>20791.509999999998</v>
      </c>
      <c r="K13">
        <v>16359.51</v>
      </c>
    </row>
    <row r="14" spans="1:11" x14ac:dyDescent="0.3">
      <c r="A14" s="6" t="s">
        <v>13</v>
      </c>
      <c r="B14">
        <v>-176.08</v>
      </c>
      <c r="C14">
        <v>-86.07</v>
      </c>
      <c r="D14">
        <v>-5.15</v>
      </c>
      <c r="E14">
        <v>8.5399999999999991</v>
      </c>
      <c r="F14">
        <v>9.85</v>
      </c>
      <c r="G14">
        <v>1018.76</v>
      </c>
      <c r="H14">
        <v>1665.55</v>
      </c>
      <c r="I14">
        <v>-3051.94</v>
      </c>
      <c r="J14">
        <v>-37.28</v>
      </c>
      <c r="K14">
        <v>3609.9</v>
      </c>
    </row>
    <row r="15" spans="1:11" x14ac:dyDescent="0.3">
      <c r="A15" s="6" t="s">
        <v>14</v>
      </c>
      <c r="B15">
        <v>550.79999999999995</v>
      </c>
      <c r="C15">
        <v>-6174.1</v>
      </c>
      <c r="D15">
        <v>-2102.9499999999998</v>
      </c>
      <c r="E15">
        <v>-984.4</v>
      </c>
      <c r="F15">
        <v>-2274.77</v>
      </c>
      <c r="G15">
        <v>1269.98</v>
      </c>
      <c r="H15">
        <v>4911.58</v>
      </c>
      <c r="I15">
        <v>10726.64</v>
      </c>
      <c r="J15">
        <v>20828.79</v>
      </c>
      <c r="K15">
        <v>12938.77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1139-03D0-4C8A-B9A7-1CE882675CD7}">
  <dimension ref="A1:K12"/>
  <sheetViews>
    <sheetView tabSelected="1" workbookViewId="0">
      <selection activeCell="N24" sqref="N24"/>
    </sheetView>
  </sheetViews>
  <sheetFormatPr defaultRowHeight="14.4" x14ac:dyDescent="0.3"/>
  <cols>
    <col min="2" max="11" width="9.88671875" bestFit="1" customWidth="1"/>
  </cols>
  <sheetData>
    <row r="1" spans="1:11" x14ac:dyDescent="0.3">
      <c r="A1" s="11" t="s">
        <v>2</v>
      </c>
      <c r="B1" s="12">
        <v>42430</v>
      </c>
      <c r="C1" s="12">
        <v>42795</v>
      </c>
      <c r="D1" s="12">
        <v>43160</v>
      </c>
      <c r="E1" s="12">
        <v>43525</v>
      </c>
      <c r="F1" s="12">
        <v>43891</v>
      </c>
      <c r="G1" s="12">
        <v>44256</v>
      </c>
      <c r="H1" s="12">
        <v>44621</v>
      </c>
      <c r="I1" s="12">
        <v>44986</v>
      </c>
      <c r="J1" s="12">
        <v>45352</v>
      </c>
      <c r="K1" s="12">
        <v>45717</v>
      </c>
    </row>
    <row r="2" spans="1:11" x14ac:dyDescent="0.3">
      <c r="A2" s="2" t="s">
        <v>6</v>
      </c>
      <c r="B2" s="1">
        <v>12991</v>
      </c>
      <c r="C2" s="1">
        <v>12300</v>
      </c>
      <c r="D2" s="1">
        <v>13363.66</v>
      </c>
      <c r="E2" s="1">
        <v>14998.66</v>
      </c>
      <c r="F2" s="1">
        <v>13488</v>
      </c>
      <c r="G2" s="1">
        <v>13681</v>
      </c>
      <c r="H2" s="1">
        <v>14247</v>
      </c>
      <c r="I2" s="1">
        <v>14109.15</v>
      </c>
      <c r="J2" s="1">
        <v>13456.4</v>
      </c>
      <c r="K2" s="1">
        <v>12451.44</v>
      </c>
    </row>
    <row r="3" spans="1:11" x14ac:dyDescent="0.3">
      <c r="A3" t="s">
        <v>7</v>
      </c>
      <c r="B3" s="6">
        <f>'Data Sheet'!B41</f>
        <v>45199</v>
      </c>
      <c r="C3" s="6">
        <f>'Data Sheet'!C41</f>
        <v>45291</v>
      </c>
      <c r="D3" s="6">
        <f>'Data Sheet'!D41</f>
        <v>45382</v>
      </c>
      <c r="E3" s="6">
        <f>'Data Sheet'!E41</f>
        <v>45473</v>
      </c>
      <c r="F3" s="6">
        <f>'Data Sheet'!F41</f>
        <v>45565</v>
      </c>
      <c r="G3" s="6">
        <f>'Data Sheet'!G41</f>
        <v>45657</v>
      </c>
      <c r="H3" s="6">
        <f>'Data Sheet'!H41</f>
        <v>45747</v>
      </c>
      <c r="I3" s="6">
        <f>'Data Sheet'!I41</f>
        <v>45838</v>
      </c>
      <c r="J3" s="6">
        <f>'Data Sheet'!J41</f>
        <v>45930</v>
      </c>
      <c r="K3" s="6">
        <f>'Data Sheet'!K41</f>
        <v>46022</v>
      </c>
    </row>
    <row r="4" spans="1:11" x14ac:dyDescent="0.3">
      <c r="A4" s="2" t="s">
        <v>8</v>
      </c>
      <c r="B4" s="1">
        <f>'Data Sheet'!B48</f>
        <v>-1370.6</v>
      </c>
      <c r="C4" s="1">
        <f>'Data Sheet'!C48</f>
        <v>472.42</v>
      </c>
      <c r="D4" s="1">
        <f>'Data Sheet'!D48</f>
        <v>820.7</v>
      </c>
      <c r="E4" s="1">
        <f>'Data Sheet'!E48</f>
        <v>992.72</v>
      </c>
      <c r="F4" s="1">
        <f>'Data Sheet'!F48</f>
        <v>836.56</v>
      </c>
      <c r="G4" s="1">
        <f>'Data Sheet'!G48</f>
        <v>1118.57</v>
      </c>
      <c r="H4" s="1">
        <f>'Data Sheet'!H48</f>
        <v>662.05</v>
      </c>
      <c r="I4" s="1">
        <f>'Data Sheet'!I48</f>
        <v>899.18</v>
      </c>
      <c r="J4" s="1">
        <f>'Data Sheet'!J48</f>
        <v>1059.74</v>
      </c>
      <c r="K4" s="1">
        <f>'Data Sheet'!K48</f>
        <v>456.93</v>
      </c>
    </row>
    <row r="5" spans="1:11" x14ac:dyDescent="0.3">
      <c r="A5" t="s">
        <v>9</v>
      </c>
      <c r="B5" s="6">
        <f>'Data Sheet'!B42</f>
        <v>12990.58</v>
      </c>
      <c r="C5" s="6">
        <f>'Data Sheet'!C42</f>
        <v>12991.44</v>
      </c>
      <c r="D5" s="6">
        <f>'Data Sheet'!D42</f>
        <v>13363.69</v>
      </c>
      <c r="E5" s="6">
        <f>'Data Sheet'!E42</f>
        <v>14955.63</v>
      </c>
      <c r="F5" s="6">
        <f>'Data Sheet'!F42</f>
        <v>13338.88</v>
      </c>
      <c r="G5" s="6">
        <f>'Data Sheet'!G42</f>
        <v>13671.18</v>
      </c>
      <c r="H5" s="6">
        <f>'Data Sheet'!H42</f>
        <v>14237.4</v>
      </c>
      <c r="I5" s="6">
        <f>'Data Sheet'!I42</f>
        <v>14109.15</v>
      </c>
      <c r="J5" s="6">
        <f>'Data Sheet'!J42</f>
        <v>13456.84</v>
      </c>
      <c r="K5" s="6">
        <f>'Data Sheet'!K42</f>
        <v>12451.44</v>
      </c>
    </row>
    <row r="6" spans="1:11" x14ac:dyDescent="0.3">
      <c r="A6" t="s">
        <v>10</v>
      </c>
      <c r="B6" s="6">
        <f>'Data Sheet'!B43</f>
        <v>7819.19</v>
      </c>
      <c r="C6" s="6">
        <f>'Data Sheet'!C43</f>
        <v>8346.1</v>
      </c>
      <c r="D6" s="6">
        <f>'Data Sheet'!D43</f>
        <v>8513.9500000000007</v>
      </c>
      <c r="E6" s="6">
        <f>'Data Sheet'!E43</f>
        <v>8761.32</v>
      </c>
      <c r="F6" s="6">
        <f>'Data Sheet'!F43</f>
        <v>8063.3</v>
      </c>
      <c r="G6" s="6">
        <f>'Data Sheet'!G43</f>
        <v>8648.26</v>
      </c>
      <c r="H6" s="6">
        <f>'Data Sheet'!H43</f>
        <v>9424.77</v>
      </c>
      <c r="I6" s="6">
        <f>'Data Sheet'!I43</f>
        <v>8423.8700000000008</v>
      </c>
      <c r="J6" s="6">
        <f>'Data Sheet'!J43</f>
        <v>8306.5499999999993</v>
      </c>
      <c r="K6" s="6">
        <f>'Data Sheet'!K43</f>
        <v>8213.3700000000008</v>
      </c>
    </row>
    <row r="7" spans="1:11" x14ac:dyDescent="0.3">
      <c r="A7" t="s">
        <v>11</v>
      </c>
      <c r="B7" s="6">
        <f>'Data Sheet'!B44</f>
        <v>1945.1</v>
      </c>
      <c r="C7" s="6">
        <f>'Data Sheet'!C44</f>
        <v>363.83</v>
      </c>
      <c r="D7" s="6">
        <f>'Data Sheet'!D44</f>
        <v>517.83000000000004</v>
      </c>
      <c r="E7" s="6">
        <f>'Data Sheet'!E44</f>
        <v>518.32000000000005</v>
      </c>
      <c r="F7" s="6">
        <f>'Data Sheet'!F44</f>
        <v>723.96</v>
      </c>
      <c r="G7" s="6">
        <f>'Data Sheet'!G44</f>
        <v>1162.26</v>
      </c>
      <c r="H7" s="6">
        <f>'Data Sheet'!H44</f>
        <v>298.2</v>
      </c>
      <c r="I7" s="6">
        <f>'Data Sheet'!I44</f>
        <v>464.55</v>
      </c>
      <c r="J7" s="6">
        <f>'Data Sheet'!J44</f>
        <v>850.95</v>
      </c>
      <c r="K7" s="6">
        <f>'Data Sheet'!K44</f>
        <v>543.26</v>
      </c>
    </row>
    <row r="8" spans="1:11" x14ac:dyDescent="0.3">
      <c r="A8" t="s">
        <v>12</v>
      </c>
      <c r="B8" s="6">
        <f>'Data Sheet'!B45</f>
        <v>1004.48</v>
      </c>
      <c r="C8" s="6">
        <f>'Data Sheet'!C45</f>
        <v>1002.23</v>
      </c>
      <c r="D8" s="6">
        <f>'Data Sheet'!D45</f>
        <v>990.03</v>
      </c>
      <c r="E8" s="6">
        <f>'Data Sheet'!E45</f>
        <v>995.63</v>
      </c>
      <c r="F8" s="6">
        <f>'Data Sheet'!F45</f>
        <v>1058.5899999999999</v>
      </c>
      <c r="G8" s="6">
        <f>'Data Sheet'!G45</f>
        <v>1170.01</v>
      </c>
      <c r="H8" s="6">
        <f>'Data Sheet'!H45</f>
        <v>1084.6500000000001</v>
      </c>
      <c r="I8" s="6">
        <f>'Data Sheet'!I45</f>
        <v>1088.5899999999999</v>
      </c>
      <c r="J8" s="6">
        <f>'Data Sheet'!J45</f>
        <v>1193.4100000000001</v>
      </c>
      <c r="K8" s="6">
        <f>'Data Sheet'!K45</f>
        <v>1135.3</v>
      </c>
    </row>
    <row r="9" spans="1:11" x14ac:dyDescent="0.3">
      <c r="A9" t="s">
        <v>13</v>
      </c>
      <c r="B9" s="6">
        <f>'Data Sheet'!B46</f>
        <v>888.44</v>
      </c>
      <c r="C9" s="6">
        <f>'Data Sheet'!C46</f>
        <v>796.56</v>
      </c>
      <c r="D9" s="6">
        <f>'Data Sheet'!D46</f>
        <v>819.6</v>
      </c>
      <c r="E9" s="6">
        <f>'Data Sheet'!E46</f>
        <v>811.49</v>
      </c>
      <c r="F9" s="6">
        <f>'Data Sheet'!F46</f>
        <v>806.87</v>
      </c>
      <c r="G9" s="6">
        <f>'Data Sheet'!G46</f>
        <v>956.53</v>
      </c>
      <c r="H9" s="6">
        <f>'Data Sheet'!H46</f>
        <v>764.9</v>
      </c>
      <c r="I9" s="6">
        <f>'Data Sheet'!I46</f>
        <v>856.93</v>
      </c>
      <c r="J9" s="6">
        <f>'Data Sheet'!J46</f>
        <v>841.63</v>
      </c>
      <c r="K9" s="6">
        <f>'Data Sheet'!K46</f>
        <v>701.01</v>
      </c>
    </row>
    <row r="10" spans="1:11" x14ac:dyDescent="0.3">
      <c r="A10" s="2" t="s">
        <v>14</v>
      </c>
      <c r="B10" s="1">
        <f>'Data Sheet'!B47</f>
        <v>5223.57</v>
      </c>
      <c r="C10" s="1">
        <f>'Data Sheet'!C47</f>
        <v>3210.38</v>
      </c>
      <c r="D10" s="1">
        <f>'Data Sheet'!D47</f>
        <v>3557.94</v>
      </c>
      <c r="E10" s="1">
        <f>'Data Sheet'!E47</f>
        <v>4905.51</v>
      </c>
      <c r="F10" s="1">
        <f>'Data Sheet'!F47</f>
        <v>4134.08</v>
      </c>
      <c r="G10" s="1">
        <f>'Data Sheet'!G47</f>
        <v>4058.64</v>
      </c>
      <c r="H10" s="1">
        <f>'Data Sheet'!H47</f>
        <v>3261.28</v>
      </c>
      <c r="I10" s="1">
        <f>'Data Sheet'!I47</f>
        <v>4204.3100000000004</v>
      </c>
      <c r="J10" s="1">
        <f>'Data Sheet'!J47</f>
        <v>3966.2</v>
      </c>
      <c r="K10" s="1">
        <f>'Data Sheet'!K47</f>
        <v>2945.02</v>
      </c>
    </row>
    <row r="12" spans="1:11" x14ac:dyDescent="0.3">
      <c r="A12" s="2" t="s">
        <v>18</v>
      </c>
      <c r="B12" s="10">
        <f>IF(B2&gt;0,B4/B2,"")</f>
        <v>-0.10550381033022861</v>
      </c>
      <c r="C12" s="10">
        <f t="shared" ref="C12:K12" si="0">IF(C2&gt;0,C4/C2,"")</f>
        <v>3.8408130081300812E-2</v>
      </c>
      <c r="D12" s="10">
        <f t="shared" si="0"/>
        <v>6.1412816548759852E-2</v>
      </c>
      <c r="E12" s="10">
        <f t="shared" si="0"/>
        <v>6.6187246060648089E-2</v>
      </c>
      <c r="F12" s="10">
        <f t="shared" si="0"/>
        <v>6.2022538552787658E-2</v>
      </c>
      <c r="G12" s="10">
        <f t="shared" si="0"/>
        <v>8.1760836196184489E-2</v>
      </c>
      <c r="H12" s="10">
        <f t="shared" si="0"/>
        <v>4.6469432161156732E-2</v>
      </c>
      <c r="I12" s="10">
        <f t="shared" si="0"/>
        <v>6.3730274325526345E-2</v>
      </c>
      <c r="J12" s="10">
        <f t="shared" si="0"/>
        <v>7.8753604232930055E-2</v>
      </c>
      <c r="K12" s="10">
        <f t="shared" si="0"/>
        <v>3.6696960351573792E-2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8E5C-3D14-4880-8A49-50BECF07BCFB}">
  <dimension ref="A1:K22"/>
  <sheetViews>
    <sheetView workbookViewId="0">
      <selection activeCell="B1" sqref="B1:K1"/>
    </sheetView>
  </sheetViews>
  <sheetFormatPr defaultRowHeight="14.4" x14ac:dyDescent="0.3"/>
  <cols>
    <col min="1" max="1" width="21" bestFit="1" customWidth="1"/>
    <col min="2" max="8" width="10" bestFit="1" customWidth="1"/>
    <col min="9" max="10" width="10.5546875" bestFit="1" customWidth="1"/>
    <col min="11" max="11" width="11.33203125" bestFit="1" customWidth="1"/>
  </cols>
  <sheetData>
    <row r="1" spans="1:11" x14ac:dyDescent="0.3">
      <c r="A1" s="11" t="s">
        <v>2</v>
      </c>
      <c r="B1" s="12">
        <v>42430</v>
      </c>
      <c r="C1" s="12">
        <v>42795</v>
      </c>
      <c r="D1" s="12">
        <v>43160</v>
      </c>
      <c r="E1" s="12">
        <v>43525</v>
      </c>
      <c r="F1" s="12">
        <v>43891</v>
      </c>
      <c r="G1" s="12">
        <v>44256</v>
      </c>
      <c r="H1" s="12">
        <v>44621</v>
      </c>
      <c r="I1" s="12">
        <v>44986</v>
      </c>
      <c r="J1" s="12">
        <v>45352</v>
      </c>
      <c r="K1" s="12">
        <v>45717</v>
      </c>
    </row>
    <row r="2" spans="1:11" x14ac:dyDescent="0.3">
      <c r="A2" t="s">
        <v>24</v>
      </c>
      <c r="B2" s="14">
        <f>'Data Sheet'!B55</f>
        <v>0</v>
      </c>
      <c r="C2" s="14">
        <f>'Data Sheet'!C55</f>
        <v>0</v>
      </c>
      <c r="D2" s="14">
        <f>'Data Sheet'!D55</f>
        <v>0</v>
      </c>
      <c r="E2" s="14">
        <f>'Data Sheet'!E55</f>
        <v>0</v>
      </c>
      <c r="F2" s="14">
        <f>'Data Sheet'!F55</f>
        <v>0</v>
      </c>
      <c r="G2" s="14">
        <f>'Data Sheet'!G55</f>
        <v>0</v>
      </c>
      <c r="H2" s="14">
        <f>'Data Sheet'!H55</f>
        <v>0</v>
      </c>
      <c r="I2" s="14">
        <f>'Data Sheet'!I55</f>
        <v>0</v>
      </c>
      <c r="J2" s="14">
        <f>'Data Sheet'!J55</f>
        <v>0</v>
      </c>
      <c r="K2" s="14">
        <f>'Data Sheet'!K55</f>
        <v>0</v>
      </c>
    </row>
    <row r="3" spans="1:11" x14ac:dyDescent="0.3">
      <c r="A3" t="s">
        <v>25</v>
      </c>
      <c r="B3" s="14">
        <f>'Data Sheet'!B56</f>
        <v>42460</v>
      </c>
      <c r="C3" s="14">
        <f>'Data Sheet'!C56</f>
        <v>42825</v>
      </c>
      <c r="D3" s="14">
        <f>'Data Sheet'!D56</f>
        <v>43190</v>
      </c>
      <c r="E3" s="14">
        <f>'Data Sheet'!E56</f>
        <v>43555</v>
      </c>
      <c r="F3" s="14">
        <f>'Data Sheet'!F56</f>
        <v>43921</v>
      </c>
      <c r="G3" s="14">
        <f>'Data Sheet'!G56</f>
        <v>44286</v>
      </c>
      <c r="H3" s="14">
        <f>'Data Sheet'!H56</f>
        <v>44651</v>
      </c>
      <c r="I3" s="14">
        <f>'Data Sheet'!I56</f>
        <v>45016</v>
      </c>
      <c r="J3" s="14">
        <f>'Data Sheet'!J56</f>
        <v>45382</v>
      </c>
      <c r="K3" s="14">
        <f>'Data Sheet'!K56</f>
        <v>45747</v>
      </c>
    </row>
    <row r="4" spans="1:11" x14ac:dyDescent="0.3">
      <c r="A4" t="s">
        <v>71</v>
      </c>
      <c r="B4" s="14">
        <f>'Data Sheet'!B57</f>
        <v>3333.94</v>
      </c>
      <c r="C4" s="14">
        <f>'Data Sheet'!C57</f>
        <v>3856.94</v>
      </c>
      <c r="D4" s="14">
        <f>'Data Sheet'!D57</f>
        <v>3856.94</v>
      </c>
      <c r="E4" s="14">
        <f>'Data Sheet'!E57</f>
        <v>3856.94</v>
      </c>
      <c r="F4" s="14">
        <f>'Data Sheet'!F57</f>
        <v>3856.94</v>
      </c>
      <c r="G4" s="14">
        <f>'Data Sheet'!G57</f>
        <v>3856.94</v>
      </c>
      <c r="H4" s="14">
        <f>'Data Sheet'!H57</f>
        <v>3856.94</v>
      </c>
      <c r="I4" s="14">
        <f>'Data Sheet'!I57</f>
        <v>3856.94</v>
      </c>
      <c r="J4" s="14">
        <f>'Data Sheet'!J57</f>
        <v>3856.94</v>
      </c>
      <c r="K4" s="14">
        <f>'Data Sheet'!K57</f>
        <v>3856.94</v>
      </c>
    </row>
    <row r="5" spans="1:11" x14ac:dyDescent="0.3">
      <c r="A5" t="s">
        <v>72</v>
      </c>
      <c r="B5" s="14">
        <f>'Data Sheet'!B58</f>
        <v>4133.92</v>
      </c>
      <c r="C5" s="14">
        <f>'Data Sheet'!C58</f>
        <v>-857.38</v>
      </c>
      <c r="D5" s="14">
        <f>'Data Sheet'!D58</f>
        <v>-2967.61</v>
      </c>
      <c r="E5" s="14">
        <f>'Data Sheet'!E58</f>
        <v>3855.35</v>
      </c>
      <c r="F5" s="14">
        <f>'Data Sheet'!F58</f>
        <v>2623.5</v>
      </c>
      <c r="G5" s="14">
        <f>'Data Sheet'!G58</f>
        <v>9255.65</v>
      </c>
      <c r="H5" s="14">
        <f>'Data Sheet'!H58</f>
        <v>14599.95</v>
      </c>
      <c r="I5" s="14">
        <f>'Data Sheet'!I58</f>
        <v>26018.720000000001</v>
      </c>
      <c r="J5" s="14">
        <f>'Data Sheet'!J58</f>
        <v>39041.54</v>
      </c>
      <c r="K5" s="14">
        <f>'Data Sheet'!K58</f>
        <v>52490.15</v>
      </c>
    </row>
    <row r="6" spans="1:11" x14ac:dyDescent="0.3">
      <c r="A6" s="2" t="s">
        <v>26</v>
      </c>
      <c r="B6" s="15">
        <f>'Data Sheet'!B59</f>
        <v>52729.32</v>
      </c>
      <c r="C6" s="15">
        <f>'Data Sheet'!C59</f>
        <v>52484.37</v>
      </c>
      <c r="D6" s="15">
        <f>'Data Sheet'!D59</f>
        <v>52834.81</v>
      </c>
      <c r="E6" s="15">
        <f>'Data Sheet'!E59</f>
        <v>46979.7</v>
      </c>
      <c r="F6" s="15">
        <f>'Data Sheet'!F59</f>
        <v>55198.76</v>
      </c>
      <c r="G6" s="15">
        <f>'Data Sheet'!G59</f>
        <v>52411.27</v>
      </c>
      <c r="H6" s="15">
        <f>'Data Sheet'!H59</f>
        <v>49144.98</v>
      </c>
      <c r="I6" s="15">
        <f>'Data Sheet'!I59</f>
        <v>42349.53</v>
      </c>
      <c r="J6" s="15">
        <f>'Data Sheet'!J59</f>
        <v>34862.11</v>
      </c>
      <c r="K6" s="15">
        <f>'Data Sheet'!K59</f>
        <v>39494.870000000003</v>
      </c>
    </row>
    <row r="7" spans="1:11" x14ac:dyDescent="0.3">
      <c r="A7" s="2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x14ac:dyDescent="0.3">
      <c r="A8" t="s">
        <v>27</v>
      </c>
      <c r="B8" s="14">
        <f>'Data Sheet'!B60</f>
        <v>15597.03</v>
      </c>
      <c r="C8" s="14">
        <f>'Data Sheet'!C60</f>
        <v>16027.12</v>
      </c>
      <c r="D8" s="14">
        <f>'Data Sheet'!D60</f>
        <v>15803.93</v>
      </c>
      <c r="E8" s="14">
        <f>'Data Sheet'!E60</f>
        <v>13292.61</v>
      </c>
      <c r="F8" s="14">
        <f>'Data Sheet'!F60</f>
        <v>13345.8</v>
      </c>
      <c r="G8" s="14">
        <f>'Data Sheet'!G60</f>
        <v>13011.61</v>
      </c>
      <c r="H8" s="14">
        <f>'Data Sheet'!H60</f>
        <v>14379.15</v>
      </c>
      <c r="I8" s="14">
        <f>'Data Sheet'!I60</f>
        <v>13596.08</v>
      </c>
      <c r="J8" s="14">
        <f>'Data Sheet'!J60</f>
        <v>14248.38</v>
      </c>
      <c r="K8" s="14">
        <f>'Data Sheet'!K60</f>
        <v>17075.61</v>
      </c>
    </row>
    <row r="9" spans="1:11" x14ac:dyDescent="0.3">
      <c r="A9" t="s">
        <v>28</v>
      </c>
      <c r="B9" s="14">
        <f>'Data Sheet'!B61</f>
        <v>75794.210000000006</v>
      </c>
      <c r="C9" s="14">
        <f>'Data Sheet'!C61</f>
        <v>71511.05</v>
      </c>
      <c r="D9" s="14">
        <f>'Data Sheet'!D61</f>
        <v>69528.070000000007</v>
      </c>
      <c r="E9" s="14">
        <f>'Data Sheet'!E61</f>
        <v>67984.600000000006</v>
      </c>
      <c r="F9" s="14">
        <f>'Data Sheet'!F61</f>
        <v>75025</v>
      </c>
      <c r="G9" s="14">
        <f>'Data Sheet'!G61</f>
        <v>78535.47</v>
      </c>
      <c r="H9" s="14">
        <f>'Data Sheet'!H61</f>
        <v>81981.02</v>
      </c>
      <c r="I9" s="14">
        <f>'Data Sheet'!I61</f>
        <v>85821.27</v>
      </c>
      <c r="J9" s="14">
        <f>'Data Sheet'!J61</f>
        <v>92008.97</v>
      </c>
      <c r="K9" s="14">
        <f>'Data Sheet'!K61</f>
        <v>112917.57</v>
      </c>
    </row>
    <row r="10" spans="1:11" x14ac:dyDescent="0.3">
      <c r="A10" t="s">
        <v>29</v>
      </c>
      <c r="B10" s="14">
        <f>'Data Sheet'!B62</f>
        <v>56941.22</v>
      </c>
      <c r="C10" s="14">
        <f>'Data Sheet'!C62</f>
        <v>54390.93</v>
      </c>
      <c r="D10" s="14">
        <f>'Data Sheet'!D62</f>
        <v>52137.14</v>
      </c>
      <c r="E10" s="14">
        <f>'Data Sheet'!E62</f>
        <v>50418.76</v>
      </c>
      <c r="F10" s="14">
        <f>'Data Sheet'!F62</f>
        <v>55845.81</v>
      </c>
      <c r="G10" s="14">
        <f>'Data Sheet'!G62</f>
        <v>52851.3</v>
      </c>
      <c r="H10" s="14">
        <f>'Data Sheet'!H62</f>
        <v>53274.21</v>
      </c>
      <c r="I10" s="14">
        <f>'Data Sheet'!I62</f>
        <v>51451.38</v>
      </c>
      <c r="J10" s="14">
        <f>'Data Sheet'!J62</f>
        <v>63015.85</v>
      </c>
      <c r="K10" s="14">
        <f>'Data Sheet'!K62</f>
        <v>69297.45</v>
      </c>
    </row>
    <row r="11" spans="1:11" x14ac:dyDescent="0.3">
      <c r="A11" t="s">
        <v>73</v>
      </c>
      <c r="B11" s="14">
        <f>'Data Sheet'!B63</f>
        <v>87.92</v>
      </c>
      <c r="C11" s="14">
        <f>'Data Sheet'!C63</f>
        <v>124.61</v>
      </c>
      <c r="D11" s="14">
        <f>'Data Sheet'!D63</f>
        <v>119.86</v>
      </c>
      <c r="E11" s="14">
        <f>'Data Sheet'!E63</f>
        <v>350.08</v>
      </c>
      <c r="F11" s="14">
        <f>'Data Sheet'!F63</f>
        <v>2346.77</v>
      </c>
      <c r="G11" s="14">
        <f>'Data Sheet'!G63</f>
        <v>6439.42</v>
      </c>
      <c r="H11" s="14">
        <f>'Data Sheet'!H63</f>
        <v>10269.74</v>
      </c>
      <c r="I11" s="14">
        <f>'Data Sheet'!I63</f>
        <v>12879.54</v>
      </c>
      <c r="J11" s="14">
        <f>'Data Sheet'!J63</f>
        <v>925.12</v>
      </c>
      <c r="K11" s="14">
        <f>'Data Sheet'!K63</f>
        <v>12104.42</v>
      </c>
    </row>
    <row r="12" spans="1:11" x14ac:dyDescent="0.3">
      <c r="A12" s="2" t="s">
        <v>26</v>
      </c>
      <c r="B12" s="14">
        <f>'Data Sheet'!B64</f>
        <v>0.06</v>
      </c>
      <c r="C12" s="14">
        <f>'Data Sheet'!C64</f>
        <v>164.33</v>
      </c>
      <c r="D12" s="14">
        <f>'Data Sheet'!D64</f>
        <v>0.01</v>
      </c>
      <c r="E12" s="14">
        <f>'Data Sheet'!E64</f>
        <v>2.72</v>
      </c>
      <c r="F12" s="14">
        <f>'Data Sheet'!F64</f>
        <v>2.8</v>
      </c>
      <c r="G12" s="14">
        <f>'Data Sheet'!G64</f>
        <v>20.100000000000001</v>
      </c>
      <c r="H12" s="14">
        <f>'Data Sheet'!H64</f>
        <v>183.25</v>
      </c>
      <c r="I12" s="14">
        <f>'Data Sheet'!I64</f>
        <v>654.04999999999995</v>
      </c>
      <c r="J12" s="14">
        <f>'Data Sheet'!J64</f>
        <v>373.51</v>
      </c>
      <c r="K12" s="14">
        <f>'Data Sheet'!K64</f>
        <v>1097.21</v>
      </c>
    </row>
    <row r="13" spans="1:11" x14ac:dyDescent="0.3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3">
      <c r="A14" t="s">
        <v>30</v>
      </c>
      <c r="B14" s="4">
        <f>B11-B5</f>
        <v>-4046</v>
      </c>
      <c r="C14" s="4">
        <f t="shared" ref="C14:K14" si="0">C11-C5</f>
        <v>981.99</v>
      </c>
      <c r="D14" s="4">
        <f t="shared" si="0"/>
        <v>3087.4700000000003</v>
      </c>
      <c r="E14" s="4">
        <f t="shared" si="0"/>
        <v>-3505.27</v>
      </c>
      <c r="F14" s="4">
        <f t="shared" si="0"/>
        <v>-276.73</v>
      </c>
      <c r="G14" s="4">
        <f t="shared" si="0"/>
        <v>-2816.2299999999996</v>
      </c>
      <c r="H14" s="4">
        <f t="shared" si="0"/>
        <v>-4330.2100000000009</v>
      </c>
      <c r="I14" s="4">
        <f t="shared" si="0"/>
        <v>-13139.18</v>
      </c>
      <c r="J14" s="4">
        <f t="shared" si="0"/>
        <v>-38116.42</v>
      </c>
      <c r="K14" s="4">
        <f t="shared" si="0"/>
        <v>-40385.730000000003</v>
      </c>
    </row>
    <row r="15" spans="1:11" x14ac:dyDescent="0.3">
      <c r="A15" t="s">
        <v>44</v>
      </c>
      <c r="B15" s="4">
        <f>'Data Sheet'!B65</f>
        <v>18765.009999999998</v>
      </c>
      <c r="C15" s="4">
        <f>'Data Sheet'!C65</f>
        <v>16831.18</v>
      </c>
      <c r="D15" s="4">
        <f>'Data Sheet'!D65</f>
        <v>17271.060000000001</v>
      </c>
      <c r="E15" s="4">
        <f>'Data Sheet'!E65</f>
        <v>17213.04</v>
      </c>
      <c r="F15" s="4">
        <f>'Data Sheet'!F65</f>
        <v>16829.62</v>
      </c>
      <c r="G15" s="4">
        <f>'Data Sheet'!G65</f>
        <v>19224.650000000001</v>
      </c>
      <c r="H15" s="4">
        <f>'Data Sheet'!H65</f>
        <v>18253.82</v>
      </c>
      <c r="I15" s="4">
        <f>'Data Sheet'!I65</f>
        <v>20836.3</v>
      </c>
      <c r="J15" s="4">
        <f>'Data Sheet'!J65</f>
        <v>27694.49</v>
      </c>
      <c r="K15" s="4">
        <f>'Data Sheet'!K65</f>
        <v>30418.49</v>
      </c>
    </row>
    <row r="16" spans="1:11" x14ac:dyDescent="0.3">
      <c r="A16" t="s">
        <v>45</v>
      </c>
      <c r="B16" s="4">
        <f>'Data Sheet'!B66</f>
        <v>75794.210000000006</v>
      </c>
      <c r="C16" s="4">
        <f>'Data Sheet'!C66</f>
        <v>71511.05</v>
      </c>
      <c r="D16" s="4">
        <f>'Data Sheet'!D66</f>
        <v>69528.070000000007</v>
      </c>
      <c r="E16" s="4">
        <f>'Data Sheet'!E66</f>
        <v>67984.600000000006</v>
      </c>
      <c r="F16" s="4">
        <f>'Data Sheet'!F66</f>
        <v>75025</v>
      </c>
      <c r="G16" s="4">
        <f>'Data Sheet'!G66</f>
        <v>78535.47</v>
      </c>
      <c r="H16" s="4">
        <f>'Data Sheet'!H66</f>
        <v>81981.02</v>
      </c>
      <c r="I16" s="4">
        <f>'Data Sheet'!I66</f>
        <v>85821.27</v>
      </c>
      <c r="J16" s="4">
        <f>'Data Sheet'!J66</f>
        <v>92008.97</v>
      </c>
      <c r="K16" s="4">
        <f>'Data Sheet'!K66</f>
        <v>112917.57</v>
      </c>
    </row>
    <row r="18" spans="1:11" x14ac:dyDescent="0.3">
      <c r="A18" t="s">
        <v>46</v>
      </c>
      <c r="B18" s="4">
        <v>179.45</v>
      </c>
      <c r="C18" s="4">
        <v>124.34</v>
      </c>
      <c r="D18" s="4">
        <v>109.11</v>
      </c>
      <c r="E18" s="4">
        <v>130.66</v>
      </c>
      <c r="F18" s="4">
        <v>115.38</v>
      </c>
      <c r="G18" s="4">
        <v>159.21</v>
      </c>
      <c r="H18" s="4">
        <v>125.93</v>
      </c>
      <c r="I18" s="4">
        <v>108.52</v>
      </c>
      <c r="J18" s="4">
        <v>84.65</v>
      </c>
      <c r="K18" s="4">
        <v>84.57</v>
      </c>
    </row>
    <row r="19" spans="1:11" x14ac:dyDescent="0.3">
      <c r="A19" t="s">
        <v>47</v>
      </c>
      <c r="B19" s="4">
        <v>15.67</v>
      </c>
      <c r="C19" s="4">
        <v>12.85</v>
      </c>
      <c r="D19" s="4">
        <v>16.23</v>
      </c>
      <c r="E19" s="4">
        <v>19.510000000000002</v>
      </c>
      <c r="F19" s="4">
        <v>10.49</v>
      </c>
      <c r="G19" s="4">
        <v>12.95</v>
      </c>
      <c r="H19" s="4">
        <v>12.27</v>
      </c>
      <c r="I19" s="4">
        <v>12.64</v>
      </c>
      <c r="J19" s="4">
        <v>12.16</v>
      </c>
      <c r="K19" s="4">
        <v>16.899999999999999</v>
      </c>
    </row>
    <row r="21" spans="1:11" x14ac:dyDescent="0.3">
      <c r="A21" s="2" t="s">
        <v>59</v>
      </c>
      <c r="B21" s="10">
        <f>IF(SUM('Balance Sheet'!B2:B3)&gt;0,'Profit &amp; Loss'!B10/SUM('Balance Sheet'!B2:B3),"")</f>
        <v>8.8252472915685363E-3</v>
      </c>
      <c r="C21" s="10">
        <f>IF(SUM('Balance Sheet'!C2:C3)&gt;0,'Profit &amp; Loss'!C10/SUM('Balance Sheet'!C2:C3),"")</f>
        <v>-0.1461802685347344</v>
      </c>
      <c r="D21" s="10">
        <f>IF(SUM('Balance Sheet'!D2:D3)&gt;0,'Profit &amp; Loss'!D10/SUM('Balance Sheet'!D2:D3),"")</f>
        <v>-4.8134290344987264E-2</v>
      </c>
      <c r="E21" s="10">
        <f>IF(SUM('Balance Sheet'!E2:E3)&gt;0,'Profit &amp; Loss'!E10/SUM('Balance Sheet'!E2:E3),"")</f>
        <v>-2.2405234760647458E-2</v>
      </c>
      <c r="F21" s="10">
        <f>IF(SUM('Balance Sheet'!F2:F3)&gt;0,'Profit &amp; Loss'!F10/SUM('Balance Sheet'!F2:F3),"")</f>
        <v>-5.1568042621980378E-2</v>
      </c>
      <c r="G21" s="10">
        <f>IF(SUM('Balance Sheet'!G2:G3)&gt;0,'Profit &amp; Loss'!G10/SUM('Balance Sheet'!G2:G3),"")</f>
        <v>5.1680892381339473E-2</v>
      </c>
      <c r="H21" s="10">
        <f>IF(SUM('Balance Sheet'!H2:H3)&gt;0,'Profit &amp; Loss'!H10/SUM('Balance Sheet'!H2:H3),"")</f>
        <v>0.14730084432599494</v>
      </c>
      <c r="I21" s="10">
        <f>IF(SUM('Balance Sheet'!I2:I3)&gt;0,'Profit &amp; Loss'!I10/SUM('Balance Sheet'!I2:I3),"")</f>
        <v>0.17048827083703572</v>
      </c>
      <c r="J21" s="10">
        <f>IF(SUM('Balance Sheet'!J2:J3)&gt;0,'Profit &amp; Loss'!J10/SUM('Balance Sheet'!J2:J3),"")</f>
        <v>0.45814441849191306</v>
      </c>
      <c r="K21" s="10">
        <f>IF(SUM('Balance Sheet'!K2:K3)&gt;0,'Profit &amp; Loss'!K10/SUM('Balance Sheet'!K2:K3),"")</f>
        <v>0.35760836776182048</v>
      </c>
    </row>
    <row r="22" spans="1:11" x14ac:dyDescent="0.3">
      <c r="A22" s="2" t="s">
        <v>60</v>
      </c>
      <c r="B22" s="10"/>
      <c r="C22" s="10">
        <f>IF((B2+B3+B4+C2+C3+C4)&gt;0,('Profit &amp; Loss'!C8+'Profit &amp; Loss'!C7)*2/(B2+B3+B4+C2+C3+C4),"")</f>
        <v>-2.1492306966962624E-2</v>
      </c>
      <c r="D22" s="10">
        <f>IF((C2+C3+C4+D2+D3+D4)&gt;0,('Profit &amp; Loss'!D8+'Profit &amp; Loss'!D7)*2/(C2+C3+C4+D2+D3+D4),"")</f>
        <v>7.3676757900019707E-2</v>
      </c>
      <c r="E22" s="10">
        <f>IF((D2+D3+D4+E2+E3+E4)&gt;0,('Profit &amp; Loss'!E8+'Profit &amp; Loss'!E7)*2/(D2+D3+D4+E2+E3+E4),"")</f>
        <v>0.11006884688872025</v>
      </c>
      <c r="F22" s="10">
        <f>IF((E2+E3+E4+F2+F3+F4)&gt;0,('Profit &amp; Loss'!F8+'Profit &amp; Loss'!F7)*2/(E2+E3+E4+F2+F3+F4),"")</f>
        <v>6.9949872822615181E-2</v>
      </c>
      <c r="G22" s="10">
        <f>IF((F2+F3+F4+G2+G3+G4)&gt;0,('Profit &amp; Loss'!G8+'Profit &amp; Loss'!G7)*2/(F2+F3+F4+G2+G3+G4),"")</f>
        <v>0.10655052372330195</v>
      </c>
      <c r="H22" s="10">
        <f>IF((G2+G3+G4+H2+H3+H4)&gt;0,('Profit &amp; Loss'!H8+'Profit &amp; Loss'!H7)*2/(G2+G3+G4+H2+H3+H4),"")</f>
        <v>0.14538056973718189</v>
      </c>
      <c r="I22" s="10">
        <f>IF((H2+H3+H4+I2+I3+I4)&gt;0,('Profit &amp; Loss'!I8+'Profit &amp; Loss'!I7)*2/(H2+H3+H4+I2+I3+I4),"")</f>
        <v>0.15442908299863381</v>
      </c>
      <c r="J22" s="10">
        <f>IF((I2+I3+I4+J2+J3+J4)&gt;0,('Profit &amp; Loss'!J8+'Profit &amp; Loss'!J7)*2/(I2+I3+I4+J2+J3+J4),"")</f>
        <v>0.28160993347594598</v>
      </c>
      <c r="K22" s="10">
        <f>IF((J2+J3+J4+K2+K3+K4)&gt;0,('Profit &amp; Loss'!K8+'Profit &amp; Loss'!K7)*2/(J2+J3+J4+K2+K3+K4),"")</f>
        <v>0.13958982174538012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5524-D291-4903-9CD8-17D4CF4244BA}">
  <dimension ref="A1:L13"/>
  <sheetViews>
    <sheetView workbookViewId="0">
      <selection activeCell="B1" sqref="B1:K1"/>
    </sheetView>
  </sheetViews>
  <sheetFormatPr defaultRowHeight="14.4" x14ac:dyDescent="0.3"/>
  <cols>
    <col min="1" max="1" width="25.5546875" bestFit="1" customWidth="1"/>
    <col min="2" max="10" width="9.88671875" bestFit="1" customWidth="1"/>
    <col min="11" max="11" width="10.6640625" bestFit="1" customWidth="1"/>
  </cols>
  <sheetData>
    <row r="1" spans="1:12" x14ac:dyDescent="0.3">
      <c r="A1" s="11" t="s">
        <v>2</v>
      </c>
      <c r="B1" s="12">
        <v>42430</v>
      </c>
      <c r="C1" s="12">
        <v>42795</v>
      </c>
      <c r="D1" s="12">
        <v>43160</v>
      </c>
      <c r="E1" s="12">
        <v>43525</v>
      </c>
      <c r="F1" s="12">
        <v>43891</v>
      </c>
      <c r="G1" s="12">
        <v>44256</v>
      </c>
      <c r="H1" s="12">
        <v>44621</v>
      </c>
      <c r="I1" s="12">
        <v>44986</v>
      </c>
      <c r="J1" s="12">
        <v>45352</v>
      </c>
      <c r="K1" s="12">
        <v>45717</v>
      </c>
      <c r="L1" s="12"/>
    </row>
    <row r="2" spans="1:12" x14ac:dyDescent="0.3">
      <c r="A2" s="2" t="s">
        <v>32</v>
      </c>
      <c r="B2" s="1">
        <v>5257.21</v>
      </c>
      <c r="C2" s="1">
        <v>4726</v>
      </c>
      <c r="D2" s="1">
        <v>5101.1499999999996</v>
      </c>
      <c r="E2" s="1">
        <v>5610.38</v>
      </c>
      <c r="F2" s="1">
        <v>5597.55</v>
      </c>
      <c r="G2" s="1">
        <v>7014.45</v>
      </c>
      <c r="H2" s="1">
        <v>10232.700000000001</v>
      </c>
      <c r="I2" s="1">
        <v>8430.5499999999993</v>
      </c>
      <c r="J2" s="1">
        <v>14170.5</v>
      </c>
      <c r="K2" s="1">
        <v>21501.11</v>
      </c>
    </row>
    <row r="3" spans="1:12" x14ac:dyDescent="0.3">
      <c r="A3" t="s">
        <v>33</v>
      </c>
      <c r="B3" s="6">
        <f>'Data Sheet'!B81</f>
        <v>42460</v>
      </c>
      <c r="C3" s="6">
        <f>'Data Sheet'!C81</f>
        <v>42825</v>
      </c>
      <c r="D3" s="6">
        <f>'Data Sheet'!D81</f>
        <v>43190</v>
      </c>
      <c r="E3" s="6">
        <f>'Data Sheet'!E81</f>
        <v>43555</v>
      </c>
      <c r="F3" s="6">
        <f>'Data Sheet'!F81</f>
        <v>43921</v>
      </c>
      <c r="G3" s="6">
        <f>'Data Sheet'!G81</f>
        <v>44286</v>
      </c>
      <c r="H3" s="6">
        <f>'Data Sheet'!H81</f>
        <v>44651</v>
      </c>
      <c r="I3" s="6">
        <f>'Data Sheet'!I81</f>
        <v>45016</v>
      </c>
      <c r="J3" s="6">
        <f>'Data Sheet'!J81</f>
        <v>45382</v>
      </c>
      <c r="K3" s="6">
        <f>'Data Sheet'!K81</f>
        <v>45747</v>
      </c>
    </row>
    <row r="4" spans="1:12" x14ac:dyDescent="0.3">
      <c r="A4" t="s">
        <v>34</v>
      </c>
      <c r="B4" s="6">
        <f>'Data Sheet'!B82</f>
        <v>5257.21</v>
      </c>
      <c r="C4" s="6">
        <f>'Data Sheet'!C82</f>
        <v>4725.2</v>
      </c>
      <c r="D4" s="6">
        <f>'Data Sheet'!D82</f>
        <v>5101.1499999999996</v>
      </c>
      <c r="E4" s="6">
        <f>'Data Sheet'!E82</f>
        <v>5610.38</v>
      </c>
      <c r="F4" s="6">
        <f>'Data Sheet'!F82</f>
        <v>5597.55</v>
      </c>
      <c r="G4" s="6">
        <f>'Data Sheet'!G82</f>
        <v>7014.35</v>
      </c>
      <c r="H4" s="6">
        <f>'Data Sheet'!H82</f>
        <v>10232.73</v>
      </c>
      <c r="I4" s="6">
        <f>'Data Sheet'!I82</f>
        <v>8430.5300000000007</v>
      </c>
      <c r="J4" s="6">
        <f>'Data Sheet'!J82</f>
        <v>14170.15</v>
      </c>
      <c r="K4" s="6">
        <f>'Data Sheet'!K82</f>
        <v>21501.11</v>
      </c>
    </row>
    <row r="5" spans="1:12" x14ac:dyDescent="0.3">
      <c r="A5" s="2" t="s">
        <v>35</v>
      </c>
      <c r="B5" s="1">
        <f>'Data Sheet'!B83</f>
        <v>-2692.11</v>
      </c>
      <c r="C5" s="1">
        <f>'Data Sheet'!C83</f>
        <v>-1212.04</v>
      </c>
      <c r="D5" s="1">
        <f>'Data Sheet'!D83</f>
        <v>-520.42999999999995</v>
      </c>
      <c r="E5" s="1">
        <f>'Data Sheet'!E83</f>
        <v>-984.02</v>
      </c>
      <c r="F5" s="1">
        <f>'Data Sheet'!F83</f>
        <v>-2303.81</v>
      </c>
      <c r="G5" s="1">
        <f>'Data Sheet'!G83</f>
        <v>-2187.5700000000002</v>
      </c>
      <c r="H5" s="1">
        <f>'Data Sheet'!H83</f>
        <v>774.46</v>
      </c>
      <c r="I5" s="1">
        <f>'Data Sheet'!I83</f>
        <v>1544.79</v>
      </c>
      <c r="J5" s="1">
        <f>'Data Sheet'!J83</f>
        <v>3480.9</v>
      </c>
      <c r="K5" s="1">
        <f>'Data Sheet'!K83</f>
        <v>-17142.05</v>
      </c>
    </row>
    <row r="13" spans="1:12" x14ac:dyDescent="0.3"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Profit &amp; Loss</vt:lpstr>
      <vt:lpstr>Quarters</vt:lpstr>
      <vt:lpstr>Balance Sheet</vt:lpstr>
      <vt:lpstr>Cash Flow</vt:lpstr>
      <vt:lpstr>Customization</vt:lpstr>
      <vt:lpstr>Data Sheet</vt:lpstr>
      <vt:lpstr>P&amp;L</vt:lpstr>
      <vt:lpstr>-quat</vt:lpstr>
      <vt:lpstr>bs</vt:lpstr>
      <vt:lpstr>cf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AYUSHMAN PATTANAIK</cp:lastModifiedBy>
  <cp:lastPrinted>2012-12-06T18:14:13Z</cp:lastPrinted>
  <dcterms:created xsi:type="dcterms:W3CDTF">2012-08-17T09:55:37Z</dcterms:created>
  <dcterms:modified xsi:type="dcterms:W3CDTF">2026-04-19T09:29:12Z</dcterms:modified>
</cp:coreProperties>
</file>